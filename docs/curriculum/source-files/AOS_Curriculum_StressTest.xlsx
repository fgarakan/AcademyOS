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rchetypes" sheetId="2" state="visible" r:id="rId4"/>
    <sheet name="Trace" sheetId="3" state="visible" r:id="rId5"/>
    <sheet name="Failure Mod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<sst xmlns="http://schemas.openxmlformats.org/spreadsheetml/2006/main" count="824" uniqueCount="309">
  <si>
    <t xml:space="preserve">AOS Curriculum — Piece 10</t>
  </si>
  <si>
    <t xml:space="preserve">Stress-Test Against Player Archetypes</t>
  </si>
  <si>
    <t xml:space="preserve">PURPOSE</t>
  </si>
  <si>
    <t xml:space="preserve">Pieces 1–9 specify the curriculum: the 15×8 matrix (Piece 1), gates (Piece 2), the Angles technical model (Piece 3), tactical decision-tree (Piece 4), drill library (Piece 5), Competition Track (Piece 6), Fitness Path (Piece 7), coach-facing translation (Piece 8), and volume guidance (Piece 9). Piece 10 puts that curriculum under load — tracing 8 representative player archetypes through the 15-stage matrix to find where gates may stall, where volume guidance breaks, and where Competition Track diverges from Skill Track in ways that need explicit support.</t>
  </si>
  <si>
    <t xml:space="preserve">This is not user research. These archetypes are constructed from Tennis Australia, Tennis Canada, USTA, and academy-floor patterns Farsh has described. Treat them as instruments for stress-testing curriculum design, not as predictions about specific Dabul players. The output is a list of curriculum gaps and proposed adjustments, tagged to the curriculum piece that owns the fix.</t>
  </si>
  <si>
    <t xml:space="preserve">METHOD</t>
  </si>
  <si>
    <t xml:space="preserve">1. Define 8 archetypes covering the realistic developmental space: early developer, late developer, performance-oriented, recreation-oriented, high-pressure family context, transfer-in mid-stage, injury-return, gap-year/late-start adult-adjacent.</t>
  </si>
  <si>
    <t xml:space="preserve">2. For each archetype, walk all 15 stages. At each stage, classify as: ENTRY (archetype enters here), PROGRESS (curriculum holds), STALL (predicted gate friction), DIVERGE (Competition Track diverges materially from Skill Track), CAP (likely terminal stage by choice or context), or OUT (beyond archetype's realistic horizon).</t>
  </si>
  <si>
    <t xml:space="preserve">3. At every STALL, DIVERGE, ENTRY, and CAP, write the specific curriculum behavior. Distinguish where the curriculum holds, where it bends, and where it breaks.</t>
  </si>
  <si>
    <t xml:space="preserve">4. Distill the breaks into a Failure Modes register with severity rating, target curriculum piece, and recommended fix.</t>
  </si>
  <si>
    <t xml:space="preserve">HOW TO READ</t>
  </si>
  <si>
    <t xml:space="preserve">Archetypes sheet — one row per archetype. Read top to bottom for the eight profiles the curriculum is being asked to serve.</t>
  </si>
  <si>
    <t xml:space="preserve">Trace sheet — long format. archetype × stage. Filter by archetype to see the developmental path. Filter by status (STALL, DIVERGE) to see the curriculum's pressure points. The STALL and DIVERGE cells are highlighted.</t>
  </si>
  <si>
    <t xml:space="preserve">Failure Modes sheet — the actionable output. Each row is a curriculum gap with severity, the archetypes affected, and the recommended adjustment. Filter by severity (CRITICAL first) or by target_piece to assign work back to the curriculum pieces.</t>
  </si>
  <si>
    <t xml:space="preserve">CONVENTIONS</t>
  </si>
  <si>
    <t xml:space="preserve">[PROPOSED:] tag — used wherever this stress-test is recommending an adjustment that Farsh has not yet ratified. Treat as a flag, not a directive. Every [PROPOSED:] item is a question for the next review pass.</t>
  </si>
  <si>
    <t xml:space="preserve">Severity ratings:</t>
  </si>
  <si>
    <t xml:space="preserve">  CRITICAL — gate or workflow failure that compromises the curriculum's integrity for the affected archetypes. Fix before pilot.</t>
  </si>
  <si>
    <t xml:space="preserve">  HIGH — fix before broad academy roll-out. Pilot with workaround acceptable.</t>
  </si>
  <si>
    <t xml:space="preserve">  MEDIUM — fix in next curriculum revision. Operational workaround sufficient short-term.</t>
  </si>
  <si>
    <t xml:space="preserve">  LOW — nice-to-have refinement.</t>
  </si>
  <si>
    <t xml:space="preserve">BUILD SEQUENCE — WHERE THIS FITS</t>
  </si>
  <si>
    <t xml:space="preserve">Piece 1 — 15×8 matrix scaffold ✓</t>
  </si>
  <si>
    <t xml:space="preserve">Piece 2 — Gate specification format and full gate library ✓</t>
  </si>
  <si>
    <t xml:space="preserve">Piece 3 — Angles technical model ✓</t>
  </si>
  <si>
    <t xml:space="preserve">Piece 4 — Tactical decision-tree progression ✓</t>
  </si>
  <si>
    <t xml:space="preserve">Piece 5 — Drill library ✓</t>
  </si>
  <si>
    <t xml:space="preserve">Piece 6 — Competition Track (parallel 15-stage) ✓</t>
  </si>
  <si>
    <t xml:space="preserve">Piece 7 — Fitness Path architecture ✓</t>
  </si>
  <si>
    <t xml:space="preserve">Piece 8 — Coach-facing translation ✓</t>
  </si>
  <si>
    <t xml:space="preserve">Piece 9 — Volume and progression rate guidance ✓</t>
  </si>
  <si>
    <t xml:space="preserve">Piece 10 — Stress-test against player archetypes (THIS FILE) ✓</t>
  </si>
  <si>
    <t xml:space="preserve">OUTPUT FROM PIECE 10</t>
  </si>
  <si>
    <t xml:space="preserve">14 failure modes identified across the 8 archetypes. Severity distribution: 4 CRITICAL, 6 HIGH, 4 MEDIUM. Target pieces span the curriculum (Pieces 2, 6, 7, 8, 9) and the AOS platform (data model, intake module, Director dashboard, three-party approval workflow, Load Management module). Several failure modes require coordinated changes across curriculum and platform — these are flagged with cross-cutting target pieces.</t>
  </si>
  <si>
    <t xml:space="preserve">Recommended next step: Farsh review of the 14 [PROPOSED:] items, ratification or rejection of each, and assignment of confirmed adjustments back to the relevant curriculum pieces for revision before Dabul pilot.</t>
  </si>
  <si>
    <t xml:space="preserve">Tag</t>
  </si>
  <si>
    <t xml:space="preserve">Name</t>
  </si>
  <si>
    <t xml:space="preserve">Age Band</t>
  </si>
  <si>
    <t xml:space="preserve">Entry Stage</t>
  </si>
  <si>
    <t xml:space="preserve">Profile</t>
  </si>
  <si>
    <t xml:space="preserve">Competition Track Posture</t>
  </si>
  <si>
    <t xml:space="preserve">Key Risks</t>
  </si>
  <si>
    <t xml:space="preserve">What Curriculum Must Protect</t>
  </si>
  <si>
    <t xml:space="preserve">A1</t>
  </si>
  <si>
    <t xml:space="preserve">Early Developer</t>
  </si>
  <si>
    <t xml:space="preserve">8–10</t>
  </si>
  <si>
    <t xml:space="preserve">Red 2</t>
  </si>
  <si>
    <t xml:space="preserve">Athletic for age, started young (5–6), parents engaged, accelerated through Red foundation in 6–9 months. Loves training, wants to play matches now. Coordination is ahead of decision-making — can hit the ball cleaner than they can read where to put it.</t>
  </si>
  <si>
    <t xml:space="preserve">Wants competition early. Parent often pushes for tournament entry before Skill Track is gated. Competition Track Stage 2 is the realistic ceiling at entry.</t>
  </si>
  <si>
    <t xml:space="preserve">Skill Track outpaces decision-making — coach gets seduced by clean ball-striking and skips tactical evidence gates. Burnout risk if competition ramped too early. The Yellow 2 → Yellow 3 transition is the most likely future stall (decision-making catches up or doesn't).</t>
  </si>
  <si>
    <t xml:space="preserve">Decision-making evidence in tactical gates must be enforced regardless of ball-striking quality. Competition Track must be capped independently.</t>
  </si>
  <si>
    <t xml:space="preserve">A2</t>
  </si>
  <si>
    <t xml:space="preserve">Late Developer</t>
  </si>
  <si>
    <t xml:space="preserve">12–14</t>
  </si>
  <si>
    <t xml:space="preserve">Orange 1</t>
  </si>
  <si>
    <t xml:space="preserve">Started at 11–12 in a school program. Coordination is still maturing, but cognition, attention span, and tactical comprehension are well ahead of typical Orange 1. Body is ahead of the typical color-band age but motor skill is behind it. Often embarrassed to be 'on Orange' next to younger peers.</t>
  </si>
  <si>
    <t xml:space="preserve">Holds Competition Track at Stage 1–2 for a long time even as Skill Track moves. Match-readiness lags because exposure was late. Adult-style match etiquette is fine; rally-tolerance under pressure is the gap.</t>
  </si>
  <si>
    <t xml:space="preserve">Stage labels are demoralizing — coach must reframe with stage-tier language ('Foundation tier'), not 'you're on Red.' [PROPOSED:] AOS UI should hide color-band labels for players entering past age 12 and surface only the .1/.2/.3 tier, with rationale shown to Director only. Otherwise risk: drop-out before Green 1.</t>
  </si>
  <si>
    <t xml:space="preserve">Self-image and dignity. Coach-facing translation must lead with what they're doing well at their actual stage, not what they 'should' be doing for their age.</t>
  </si>
  <si>
    <t xml:space="preserve">A3</t>
  </si>
  <si>
    <t xml:space="preserve">Performance-Oriented</t>
  </si>
  <si>
    <t xml:space="preserve">13–16</t>
  </si>
  <si>
    <t xml:space="preserve">Yellow 1</t>
  </si>
  <si>
    <t xml:space="preserve">Confirmed pathway player. UTR or national ranking ambition. Trains 4–6 sessions/wk plus matches plus fitness. Has a clear external goal (sectional, national, college). Mentality is intense but vulnerable to outcome-fixation.</t>
  </si>
  <si>
    <t xml:space="preserve">Competition Track is at parity with Skill Track or slightly ahead. ACR injury risk tracking is non-negotiable. Tournament-aware taper rules will fire frequently.</t>
  </si>
  <si>
    <t xml:space="preserve">Plateaus at Yellow 3 → HP 1 are common — the gate from 'good Yellow player' to 'HP-readiness' is where most pathway players actually stop. Curriculum must specify what HP 1 entry evidence looks like beyond 'wins matches.'</t>
  </si>
  <si>
    <t xml:space="preserve">Honest evidence over flattering evidence. ACR thresholds. Mentality column must carry pressure-tolerance and self-coaching content from Yellow 1 onward.</t>
  </si>
  <si>
    <t xml:space="preserve">A4</t>
  </si>
  <si>
    <t xml:space="preserve">Recreation-Oriented</t>
  </si>
  <si>
    <t xml:space="preserve">10–14</t>
  </si>
  <si>
    <t xml:space="preserve">Orange 2</t>
  </si>
  <si>
    <t xml:space="preserve">Tennis is one of three or four activities. 1–2 sessions/wk, plays for fun, no tournament ambition. Parent values social and physical-development outcomes more than ranking. Will likely cap at Green 3 or Yellow 1 by choice.</t>
  </si>
  <si>
    <t xml:space="preserve">Competition Track stays at low-stakes internal academy events. Will not pursue USTA tournament play. Pressure-tolerance gates do not apply in the same way.</t>
  </si>
  <si>
    <t xml:space="preserve">The curriculum's gate-based progression can stall a recreation player at Orange 3 → Green 1 because the Competition column gate (e.g., 'plays internal round-robin with score, sustains effort across 3 matches') is not something they're showing up enough times to earn. They look 'stuck' on the data even though they're well-served by their actual experience.</t>
  </si>
  <si>
    <t xml:space="preserve">[PROPOSED:] AOS should support a 'Recreation flag' on the player record that reframes Competition gates as optional rather than blocking, while keeping Skill Track gates intact. Otherwise the platform misreports their progress.</t>
  </si>
  <si>
    <t xml:space="preserve">A5</t>
  </si>
  <si>
    <t xml:space="preserve">High-Pressure Family Context</t>
  </si>
  <si>
    <t xml:space="preserve">9–13</t>
  </si>
  <si>
    <t xml:space="preserve">Green 1</t>
  </si>
  <si>
    <t xml:space="preserve">Talented player, parent driving the developmental timeline aggressively. Demands promotion conversations every 6–8 weeks. Player is technically capable but shows mentality flags — tightens in matches, post-loss avoidance, fragile around evidence-of-error feedback.</t>
  </si>
  <si>
    <t xml:space="preserve">Parent wants Competition Track ahead of Skill Track. Three-party competition entry approval workflow (Director / Coach / Parent) will fire repeatedly with Coach and Director in 'hold' position against parent push.</t>
  </si>
  <si>
    <t xml:space="preserve">Director-Coach-Parent friction. The curriculum is the shield — gates have to be objective enough that 'we're not promoting yet' is defensible. If gates are soft, parent wins the argument and player is promoted prematurely. This is the single highest-stakes test of gate specification quality.</t>
  </si>
  <si>
    <t xml:space="preserve">Gate objectivity. Mentality column evidence (composure, error-recovery, between-point routine adherence). [PROPOSED:] AOS should log every promotion request with the evidence cited so Director has audit trail.</t>
  </si>
  <si>
    <t xml:space="preserve">A6</t>
  </si>
  <si>
    <t xml:space="preserve">Transfer-In Mid-Stage</t>
  </si>
  <si>
    <t xml:space="preserve">12–15</t>
  </si>
  <si>
    <t xml:space="preserve">Green 2 (claimed) / Green 1 (validated)</t>
  </si>
  <si>
    <t xml:space="preserve">Transferring from another academy, claimed at 'intermediate' or higher by previous coach. Brings coaching habits — some good, some incompatible with Angles methodology (grip differences, swing organization, court mapping vocabulary they don't share).</t>
  </si>
  <si>
    <t xml:space="preserve">Has match experience that may be ahead of their Skill Track validated stage. Competition Track may legitimately enter at parity with old academy claim while Skill Track is regressed for re-grounding.</t>
  </si>
  <si>
    <t xml:space="preserve">Onboarding assessment can't be 'see where they fit' — must be a structured intake. [PROPOSED:] Angles intake protocol = Swing Check (Behind / Between Legs / Green Zone diagnostic on forehand) + 3-rally tactical observation + a written self-assessment from the player. Otherwise curriculum places them at the wrong stage and either bores them (placed too low) or exposes gaps (placed too high).</t>
  </si>
  <si>
    <t xml:space="preserve">Two-track independence. Skill Track regression is not punishment — it's re-grounding. Coach-facing translation must communicate this to the player and parent in framing that doesn't read as demotion.</t>
  </si>
  <si>
    <t xml:space="preserve">A7</t>
  </si>
  <si>
    <t xml:space="preserve">Injury-Return</t>
  </si>
  <si>
    <t xml:space="preserve">any</t>
  </si>
  <si>
    <t xml:space="preserve">Stage prior to injury, but with capped volume</t>
  </si>
  <si>
    <t xml:space="preserve">Cleared by medical to return to tennis. Was at, say, Yellow 2 before injury. Movement, fitness, and confidence are all behind their Skill Track stage. ACR is starting from zero — recent acute load is low while chronic load (pre-injury) is being phased out of the rolling window.</t>
  </si>
  <si>
    <t xml:space="preserve">Competition Track must be paused for a defined window. Tournament-aware taper rules apply but inverted — taper is the default state, not the exception. Match-play evidence cannot be collected in the return window.</t>
  </si>
  <si>
    <t xml:space="preserve">Skill Track gates rely on rally-volume and match-volume evidence the player cannot produce yet. Without an explicit return-to-play modifier, curriculum marks them as regressed when they're actually progressing through a constrained load envelope.</t>
  </si>
  <si>
    <t xml:space="preserve">[PROPOSED:] AOS Load Management module needs an explicit Return-to-Play state (separate from injury risk state) that suspends gate evaluation and substitutes load-progression milestones from the Fitness Path until a re-entry assessment is passed. Skill Track stage label is preserved through the return window.</t>
  </si>
  <si>
    <t xml:space="preserve">A8</t>
  </si>
  <si>
    <t xml:space="preserve">Gap-Year / Late-Start Adult-Adjacent</t>
  </si>
  <si>
    <t xml:space="preserve">16–20+</t>
  </si>
  <si>
    <t xml:space="preserve">Orange 1 (motor) / Green 3 (cognition, fitness)</t>
  </si>
  <si>
    <t xml:space="preserve">Adolescent or young adult starting tennis seriously for the first time. Could be a transfer from another sport (often baseball or hockey for boys, soccer for both). Athletic, attentive, motivated, but zero tennis-specific motor patterning. Mismatch between motor stage and every other dimension is extreme.</t>
  </si>
  <si>
    <t xml:space="preserve">[PROPOSED:] Competition Track is opened only after Skill Track reaches Green 1 to avoid pattern-poisoning under match pressure. Until then, internal controlled-condition matches only.</t>
  </si>
  <si>
    <t xml:space="preserve">Color-band labeling causes the worst dignity injury of any archetype — a 16-year-old tagged 'Orange 1' next to 9-year-olds. The 'late-start adult-adjacent' track must use only sub-stage tier language and bypass the color label entirely in player- and parent-facing surfaces. Director-facing data preserves the color band for cohort comparison.</t>
  </si>
  <si>
    <t xml:space="preserve">Dignity. Pace of progression. Curriculum needs to allow accelerated movement through Red and Orange because cognition and athleticism let this archetype skip the volume thresholds that exist for 8-year-olds.</t>
  </si>
  <si>
    <t xml:space="preserve">Archetype</t>
  </si>
  <si>
    <t xml:space="preserve">Stage #</t>
  </si>
  <si>
    <t xml:space="preserve">Stage</t>
  </si>
  <si>
    <t xml:space="preserve">Status</t>
  </si>
  <si>
    <t xml:space="preserve">Note</t>
  </si>
  <si>
    <t xml:space="preserve">Red 1</t>
  </si>
  <si>
    <t xml:space="preserve">OUT</t>
  </si>
  <si>
    <t xml:space="preserve">Aged through. Not relevant.</t>
  </si>
  <si>
    <t xml:space="preserve">ENTRY</t>
  </si>
  <si>
    <t xml:space="preserve">Enters here. Skill is ahead of competition exposure.</t>
  </si>
  <si>
    <t xml:space="preserve">Red 3</t>
  </si>
  <si>
    <t xml:space="preserve">PROGRESS</t>
  </si>
  <si>
    <t xml:space="preserve">Curriculum holds. Tactical column begins court-mapping vocab.</t>
  </si>
  <si>
    <t xml:space="preserve">Clean technical execution. Comp Track Stage 1 opens.</t>
  </si>
  <si>
    <t xml:space="preserve">DIVERGE</t>
  </si>
  <si>
    <t xml:space="preserve">First real divergence. Skill Track ready to push; Comp Track gated by parent/director judgment on emotional readiness. The three-party approval workflow fires here for the first time.</t>
  </si>
  <si>
    <t xml:space="preserve">Orange 3</t>
  </si>
  <si>
    <t xml:space="preserve">STALL</t>
  </si>
  <si>
    <t xml:space="preserve">Predicted stall: tactical decision-making gate (court mapping evidence under pressure). Player can hit the ball but doesn't yet read where to put it. Curriculum risk: coach skips this gate because ball-striking is so clean. [PROPOSED:] AOS should block Orange 3 → Green 1 promotion if tactical evidence count is below threshold even when technical evidence is strong.</t>
  </si>
  <si>
    <t xml:space="preserve">Resumes if Orange 3 gate held. Decision-making catches up.</t>
  </si>
  <si>
    <t xml:space="preserve">Green 2</t>
  </si>
  <si>
    <t xml:space="preserve">Comp Track now at parity with Skill Track.</t>
  </si>
  <si>
    <t xml:space="preserve">Green 3</t>
  </si>
  <si>
    <t xml:space="preserve">Pattern-play under live conditions.</t>
  </si>
  <si>
    <t xml:space="preserve">ACR injury risk tracking begins firing. Volume must be capped even when player wants more.</t>
  </si>
  <si>
    <t xml:space="preserve">Yellow 2</t>
  </si>
  <si>
    <t xml:space="preserve">Highest predicted stall point for this archetype. Yellow 2 → Yellow 3 transition tests whether decision-making and pressure-tolerance scaled with technical gains. Many early developers stop here permanently.</t>
  </si>
  <si>
    <t xml:space="preserve">Yellow 3</t>
  </si>
  <si>
    <t xml:space="preserve">If passed, technical IP is durable under pressure.</t>
  </si>
  <si>
    <t xml:space="preserve">HP 1</t>
  </si>
  <si>
    <t xml:space="preserve">Realistic ceiling for many early developers without burn-out.</t>
  </si>
  <si>
    <t xml:space="preserve">HP 2</t>
  </si>
  <si>
    <t xml:space="preserve">Continues if mentality column was protected throughout.</t>
  </si>
  <si>
    <t xml:space="preserve">HP 3</t>
  </si>
  <si>
    <t xml:space="preserve">Reachable but rare. Long horizon.</t>
  </si>
  <si>
    <t xml:space="preserve">Aged through; entered too late for Red 1 by motor age.</t>
  </si>
  <si>
    <t xml:space="preserve">Skipped. [PROPOSED:] Late-developer intake protocol places at Orange 1 even if motor pattern is closer to Red 2 — to protect dignity. Coach uses Orange 1 sessions to back-fill Red 2 motor content disguised as Orange 1 warm-ups.</t>
  </si>
  <si>
    <t xml:space="preserve">Bypassed by intake placement.</t>
  </si>
  <si>
    <t xml:space="preserve">Enters here. Color-band label is the first dignity test. [PROPOSED:] AOS player-facing UI suppresses 'Orange' label when player entry-age &gt; 12; uses .1/.2/.3 tier only.</t>
  </si>
  <si>
    <t xml:space="preserve">Predicted stall: motor pattern is still maturing. Curriculum Technical column at this stage assumes 6–12 months of prior Red exposure that this archetype doesn't have. [PROPOSED:] extend Orange 1 → Orange 2 transition window 30–50% for late starters; add a 'volume-replacement' modifier in Piece 9.</t>
  </si>
  <si>
    <t xml:space="preserve">Cognitive advantage starts paying off. Tactical column is where this archetype outperforms color-band peers.</t>
  </si>
  <si>
    <t xml:space="preserve">Curriculum holds well. Comp Track entry at this stage.</t>
  </si>
  <si>
    <t xml:space="preserve">Healthy parity between tracks.</t>
  </si>
  <si>
    <t xml:space="preserve">Comp Track may stall behind Skill Track because match volume lagged. Curriculum should accept this as normal, not as a promotion blocker.</t>
  </si>
  <si>
    <t xml:space="preserve">If Green 3 Comp gate is properly modular.</t>
  </si>
  <si>
    <t xml:space="preserve">Realistic ceiling for many late-starters who entered at 12+.</t>
  </si>
  <si>
    <t xml:space="preserve">Rally-tolerance under pressure is the gate. Late-starter has fewer accumulated reps under match conditions; curriculum must not penalize this with a volume gate that conflates time-on-task with quality-of-task.</t>
  </si>
  <si>
    <t xml:space="preserve">CAP</t>
  </si>
  <si>
    <t xml:space="preserve">Realistic terminal stage for many in this archetype.</t>
  </si>
  <si>
    <t xml:space="preserve">Beyond likely horizon for late-starter without exceptional additional context (size/strength advantage, full-time pivot).</t>
  </si>
  <si>
    <t xml:space="preserve">Beyond likely horizon.</t>
  </si>
  <si>
    <t xml:space="preserve">Aged through.</t>
  </si>
  <si>
    <t xml:space="preserve">Already past.</t>
  </si>
  <si>
    <t xml:space="preserve">Enters with confirmed pathway intent. Intake assessment validates Skill Track placement; Comp Track placement reviewed from prior tournament results.</t>
  </si>
  <si>
    <t xml:space="preserve">Heavy load. ACR tracking is critical; tournament-aware taper rules fire weekly. Mentality column carries pressure-tolerance content from this stage onward.</t>
  </si>
  <si>
    <t xml:space="preserve">Predicted stall #1: pressure-tolerance under outcome-fixation. Player has external goals (UTR, ranking) and curriculum must protect process-orientation. [PROPOSED:] mentality gate at Yellow 3 → HP 1 transition includes an explicit 'process vs outcome self-talk' observable, not just match-result data.</t>
  </si>
  <si>
    <t xml:space="preserve">Predicted stall #2: the actual hard gate of the system. Most pathway players plateau here. Curriculum must specify HP 1 entry evidence beyond 'wins matches' — pattern-execution consistency, recovery protocols, self-coaching evidence.</t>
  </si>
  <si>
    <t xml:space="preserve">Comp Track may run ahead of Skill Track at the HP level — skill stage is about IP durability, comp stage is about sustained level against quality opponents. The two diverge by design here.</t>
  </si>
  <si>
    <t xml:space="preserve">Reachable for a small fraction. Curriculum role shifts from teaching to maintaining and refining.</t>
  </si>
  <si>
    <t xml:space="preserve">Already past at intake.</t>
  </si>
  <si>
    <t xml:space="preserve">Enters here. Intake reveals technical pattern is clean enough for the stage.</t>
  </si>
  <si>
    <t xml:space="preserve">First volume-driven stall. Comp column gate ('participates in internal round-robin, sustains effort across 3 matches') requires match volume this archetype isn't generating at 1–2 sessions/wk. Curriculum must offer a Recreation modifier or it misreports progress. [PROPOSED:] AOS 'Recreation' player flag — Comp gates downgrade from blocking to advisory.</t>
  </si>
  <si>
    <t xml:space="preserve">If Recreation flag is honored. Otherwise stuck at Orange 3.</t>
  </si>
  <si>
    <t xml:space="preserve">Skill Track holds. Comp Track stays at internal events only.</t>
  </si>
  <si>
    <t xml:space="preserve">Realistic terminal stage by choice. [PROPOSED:] Curriculum should explicitly support a 'Healthy Plateau' state on the player record — distinct from 'Stalled' — so the data represents the player's choice rather than a system failure.</t>
  </si>
  <si>
    <t xml:space="preserve">Beyond chosen horizon for most in this archetype.</t>
  </si>
  <si>
    <t xml:space="preserve">Out of scope.</t>
  </si>
  <si>
    <t xml:space="preserve">Aged past at point of intake.</t>
  </si>
  <si>
    <t xml:space="preserve">Aged past.</t>
  </si>
  <si>
    <t xml:space="preserve">Enters with parental pressure already applied. First three-party competition entry approval fires within 6 weeks of intake.</t>
  </si>
  <si>
    <t xml:space="preserve">Predicted stall: parent demands promotion conversation. Director must defend the gate with objective evidence. Risk concentration: if Mentality / Learning Behavior column is soft on observables, Director loses the argument and player is promoted with fragile foundations. [PROPOSED:] AOS should require evidence-citation on every promotion-hold decision, with audit trail visible to all three roles.</t>
  </si>
  <si>
    <t xml:space="preserve">Skill Track held; Comp Track pushed by parent. Three-party approval frequently disagrees. Coach should hold.</t>
  </si>
  <si>
    <t xml:space="preserve">Pressure-tolerance breakdown shows up clearly here. Mentality evidence (tightness in matches, post-loss avoidance, fragility to error feedback) becomes the central curriculum content for this archetype.</t>
  </si>
  <si>
    <t xml:space="preserve">If mentality is held through Yellow 1, Skill and Comp Tracks can re-converge. If not, divergence widens — player is being pushed competitively while skill foundation is wobbling.</t>
  </si>
  <si>
    <t xml:space="preserve">Outcome of family-context handling shows here. Either player stabilizes and continues, or burnout / withdrawal cascade begins. Curriculum cannot rescue this stage if Mentality column was not enforced from Green 2 onward.</t>
  </si>
  <si>
    <t xml:space="preserve">Reachable if family context was successfully held in earlier stages. Otherwise this is the burnout cliff.</t>
  </si>
  <si>
    <t xml:space="preserve">Continues if reachable.</t>
  </si>
  <si>
    <t xml:space="preserve">Long horizon, contingent on emotional durability.</t>
  </si>
  <si>
    <t xml:space="preserve">[PROPOSED:] AOS intake protocol = Swing Check (Behind / Between Legs / Green Zone diagnostic) + 3-rally tactical observation + player self-assessment. Output: validated Skill Track placement and separate Comp Track placement. Player claimed Green 2 but validates at Green 1 on Swing Check evidence.</t>
  </si>
  <si>
    <t xml:space="preserve">Predicted stall: mid-stage transfers carry inherited swing organization habits. Curriculum must allow a 're-grounding' phase that doesn't read as demotion. Coach-facing translation (Piece 8) language is critical here — frame as 'tightening the foundation' not 'going back.'</t>
  </si>
  <si>
    <t xml:space="preserve">Comp Track ahead of Skill Track. Player has match experience from old academy that is legitimately valid; Skill Track needs the re-grounding stage. The two-track separation is what makes this archetype manageable — without it, transfer-ins feel demoted in every dimension.</t>
  </si>
  <si>
    <t xml:space="preserve">Re-grounding pays off. Tracks re-converge.</t>
  </si>
  <si>
    <t xml:space="preserve">Curriculum holds normally.</t>
  </si>
  <si>
    <t xml:space="preserve">Pressure-tolerance gates apply normally; transfer-in match history is an asset here.</t>
  </si>
  <si>
    <t xml:space="preserve">Pathway available if intent and load support it.</t>
  </si>
  <si>
    <t xml:space="preserve">Continues.</t>
  </si>
  <si>
    <t xml:space="preserve">Reachable for confirmed pathway transfers.</t>
  </si>
  <si>
    <t xml:space="preserve">Not relevant — archetype is not stage-defined, returns to pre-injury stage.</t>
  </si>
  <si>
    <t xml:space="preserve">Not relevant.</t>
  </si>
  <si>
    <t xml:space="preserve">Not relevant for this trace; archetype was Yellow 2 pre-injury.</t>
  </si>
  <si>
    <t xml:space="preserve">Returns to pre-injury stage with Skill Track stage label preserved. ACR is starting from zero. [PROPOSED:] AOS Load Management must add explicit 'Return-to-Play' state — separate from 'Injury Risk' state — that suspends Skill Track gate evaluation and substitutes load-progression milestones from the Fitness Path until re-entry assessment is passed.</t>
  </si>
  <si>
    <t xml:space="preserve">Predicted stall: rally-volume and match-volume evidence cannot be collected during the return window. Without explicit Return-to-Play modifier, curriculum will mark the player as regressed when they're actually progressing through a constrained load envelope.</t>
  </si>
  <si>
    <t xml:space="preserve">Skill Track may resume normal progression while Comp Track remains paused for a longer tail. Tournament-aware taper rules default-on for the rest of the return year.</t>
  </si>
  <si>
    <t xml:space="preserve">Resumes if return is fully integrated.</t>
  </si>
  <si>
    <t xml:space="preserve">Resumes.</t>
  </si>
  <si>
    <t xml:space="preserve">Aged out.</t>
  </si>
  <si>
    <t xml:space="preserve">Enters on motor pattern. [PROPOSED:] color-band label fully suppressed in player- and parent-facing surfaces; only sub-stage tier ('Foundation tier') visible. Director-facing data preserves color band for cohort comparison and reporting.</t>
  </si>
  <si>
    <t xml:space="preserve">Cognitive and athletic advantage drives accelerated movement. [PROPOSED:] Piece 9 volume guidance must allow archetype-aware volume thresholds — late-starter adult-adjacent can pass Orange 2 in 30–50% of typical age-band volume.</t>
  </si>
  <si>
    <t xml:space="preserve">Moves through quickly. Tactical column is where this archetype leads peers; technical column lags age-band peers.</t>
  </si>
  <si>
    <t xml:space="preserve">[PROPOSED:] Competition Track opens here, not earlier — match play under pressure before Green 1 risks pattern-poisoning the still-immature motor patterns. Internal controlled-condition matches only until Green 1 entry evidence is confirmed.</t>
  </si>
  <si>
    <t xml:space="preserve">Comp Track now at parity. Curriculum holds.</t>
  </si>
  <si>
    <t xml:space="preserve">Match patterns develop fast given cognitive and athletic base.</t>
  </si>
  <si>
    <t xml:space="preserve">Realistic stage if pathway intent emerges. ACR tracking begins.</t>
  </si>
  <si>
    <t xml:space="preserve">Predicted stall: technical refinement under pressure is where the lack of childhood reps shows. Curriculum is honest about this — late-starter adult-adjacent archetype rarely reaches HP without a multi-year volume commitment.</t>
  </si>
  <si>
    <t xml:space="preserve">Possible but rare; requires exceptional context.</t>
  </si>
  <si>
    <t xml:space="preserve">Out of likely scope.</t>
  </si>
  <si>
    <t xml:space="preserve">ID</t>
  </si>
  <si>
    <t xml:space="preserve">Severity</t>
  </si>
  <si>
    <t xml:space="preserve">Stages</t>
  </si>
  <si>
    <t xml:space="preserve">Archetypes</t>
  </si>
  <si>
    <t xml:space="preserve">Gap</t>
  </si>
  <si>
    <t xml:space="preserve">Recommended Fix</t>
  </si>
  <si>
    <t xml:space="preserve">Target Piece</t>
  </si>
  <si>
    <t xml:space="preserve">FM-01</t>
  </si>
  <si>
    <t xml:space="preserve">CRITICAL</t>
  </si>
  <si>
    <t xml:space="preserve">Orange 3 → Green 1</t>
  </si>
  <si>
    <t xml:space="preserve">A1 Early Developer</t>
  </si>
  <si>
    <t xml:space="preserve">Tactical / decision-making gate can be overridden in practice when ball-striking quality is high. Coach is biased to promote on the visible signal. Result: player promoted to Green 1 without tactical evidence; Yellow 2 stall is then amplified.</t>
  </si>
  <si>
    <t xml:space="preserve">Tactical evidence count must be a hard block on Orange 3 → Green 1 promotion regardless of technical evidence quality. AOS UI must show both evidence streams side-by-side at the promotion-decision screen and require explicit override with rationale if technical is green and tactical is amber/red.</t>
  </si>
  <si>
    <t xml:space="preserve">Piece 2 (Gates), Piece 4 (Tactical), AOS UI</t>
  </si>
  <si>
    <t xml:space="preserve">FM-02</t>
  </si>
  <si>
    <t xml:space="preserve">HIGH</t>
  </si>
  <si>
    <t xml:space="preserve">Orange 1 (entry)</t>
  </si>
  <si>
    <t xml:space="preserve">A2 Late Developer, A8 Gap-Year</t>
  </si>
  <si>
    <t xml:space="preserve">Color-band labeling causes dignity injury for entrants whose entry age is well past the typical color-band age. 'Orange' next to 9-year-olds when player is 13 or 17 reads as humiliation, drives drop-out before Green 1.</t>
  </si>
  <si>
    <t xml:space="preserve">[PROPOSED:] AOS player-facing UI suppresses color-band label when entry age &gt; 12. Surfaces only sub-stage tier ('Foundation tier'). Director-facing data preserves color band for cohort comparison and reporting. Coach-facing language guidance (Piece 8) carries explicit framing for late-entry conversations.</t>
  </si>
  <si>
    <t xml:space="preserve">Piece 8 (Coach-facing translation), AOS UI</t>
  </si>
  <si>
    <t xml:space="preserve">FM-03</t>
  </si>
  <si>
    <t xml:space="preserve">Orange 1 → Orange 2</t>
  </si>
  <si>
    <t xml:space="preserve">A2 Late Developer</t>
  </si>
  <si>
    <t xml:space="preserve">Curriculum Technical column at Orange 2 assumes 6–12 months of prior Red exposure. Late developer entered at Orange 1 without that volume; standard transition window is too short. Curriculum reports stall when reality is appropriate pacing.</t>
  </si>
  <si>
    <t xml:space="preserve">[PROPOSED:] Piece 9 volume guidance must include archetype-aware modifiers. Late-developer Orange 1 → Orange 2 transition window extends 30–50%. Volume-replacement modifier specifies what late-entry warm-up content back-fills the missing Red exposure.</t>
  </si>
  <si>
    <t xml:space="preserve">Piece 9 (Volume guidance)</t>
  </si>
  <si>
    <t xml:space="preserve">FM-04</t>
  </si>
  <si>
    <t xml:space="preserve">Yellow 3 → HP 1</t>
  </si>
  <si>
    <t xml:space="preserve">A3 Performance-Oriented</t>
  </si>
  <si>
    <t xml:space="preserve">HP 1 entry evidence is currently under-specified. Curriculum risks defaulting to 'wins matches' as the de facto gate, which (a) flatters the wrong players and (b) misses pattern-execution durability and self-coaching evidence that actually predict HP-stage success.</t>
  </si>
  <si>
    <t xml:space="preserve">Piece 2 must specify HP 1 entry gate as multi-domain: pattern-execution consistency under pressure (Tactical), recovery protocol adherence (Fitness), self-coaching evidence (Mentality), and match-result trend (Competition). All four required, none individually sufficient.</t>
  </si>
  <si>
    <t xml:space="preserve">Piece 2 (Gates), Piece 6 (Competition Track)</t>
  </si>
  <si>
    <t xml:space="preserve">FM-05</t>
  </si>
  <si>
    <t xml:space="preserve">Yellow 2 → Yellow 3</t>
  </si>
  <si>
    <t xml:space="preserve">A3 Performance-Oriented, A5 High-Pressure Family</t>
  </si>
  <si>
    <t xml:space="preserve">Mentality column observables for pressure-tolerance and process-orientation are not yet specified at the cell level. Curriculum is vulnerable to outcome-fixation drift in archetypes most likely to suffer from it.</t>
  </si>
  <si>
    <t xml:space="preserve">[PROPOSED:] Mentality column at Yellow 1, Yellow 2, Yellow 3 must include explicit observables: between-point routine adherence (count and protocol), process-vs-outcome self-talk (coach-observed, frequency-rated), error-recovery behaviors (next-point lookback test). Each observable specified at the gate level in Piece 2.</t>
  </si>
  <si>
    <t xml:space="preserve">Piece 2 (Gates), 15×8 Matrix Mentality column</t>
  </si>
  <si>
    <t xml:space="preserve">FM-06</t>
  </si>
  <si>
    <t xml:space="preserve">Orange 3 → Green 1, Green 3 → Yellow 1</t>
  </si>
  <si>
    <t xml:space="preserve">A4 Recreation-Oriented</t>
  </si>
  <si>
    <t xml:space="preserve">Competition column gates require match-volume that recreation players don't generate. Curriculum reports stall when reality is the player has chosen a different developmental shape. Platform misrepresents the parent's actual satisfaction.</t>
  </si>
  <si>
    <t xml:space="preserve">[PROPOSED:] AOS player record carries a 'Recreation' flag. When set, Competition column gates downgrade from blocking to advisory; Skill Track gates remain in force. Player progress data shows both 'Skill Track stage' and 'Competition Track stage' independently with no implicit penalty for the latter being deliberately frozen.</t>
  </si>
  <si>
    <t xml:space="preserve">Piece 6 (Competition Track), AOS data model</t>
  </si>
  <si>
    <t xml:space="preserve">FM-07</t>
  </si>
  <si>
    <t xml:space="preserve">MEDIUM</t>
  </si>
  <si>
    <t xml:space="preserve">Green 3 (terminal for archetype)</t>
  </si>
  <si>
    <t xml:space="preserve">Curriculum has no explicit 'Healthy Plateau' state. A recreation player who caps at Green 3 by choice is reported the same as a player stalled at Green 3 by gate failure. Director reports look misleadingly negative.</t>
  </si>
  <si>
    <t xml:space="preserve">[PROPOSED:] AOS player record carries a 'Healthy Plateau' state, distinct from 'Stalled'. Plateau is set explicitly by the Director with a rationale and is presented in dashboards as a deliberate choice, not a failure mode.</t>
  </si>
  <si>
    <t xml:space="preserve">AOS data model, Director dashboard</t>
  </si>
  <si>
    <t xml:space="preserve">FM-08</t>
  </si>
  <si>
    <t xml:space="preserve">Green 2, Green 3, Yellow 1</t>
  </si>
  <si>
    <t xml:space="preserve">A5 High-Pressure Family</t>
  </si>
  <si>
    <t xml:space="preserve">Director must defend promotion-hold decisions against parent pressure. If gate specification is soft or evidence is not preserved, parent wins the argument by default. This is the single highest-stakes test of gate quality in the system.</t>
  </si>
  <si>
    <t xml:space="preserve">[PROPOSED:] Every promotion request must require evidence citation against the specific gate criterion in question. AOS preserves audit trail visible to all three roles (Director, Coach, Parent). Three-party competition entry approval workflow logs each refusal with the gate-evidence basis. Coach-facing translation language (Piece 8) supplies non-confrontational scripts for these conversations.</t>
  </si>
  <si>
    <t xml:space="preserve">Piece 2 (Gates), Piece 8 (Coach-facing), AOS workflow</t>
  </si>
  <si>
    <t xml:space="preserve">FM-09</t>
  </si>
  <si>
    <t xml:space="preserve">Intake (any stage entry)</t>
  </si>
  <si>
    <t xml:space="preserve">A6 Transfer-In</t>
  </si>
  <si>
    <t xml:space="preserve">Intake assessment is currently not protocolized. 'See where they fit' is subjective and under-evidenced. Result: transfer-ins are placed at the wrong stage and either bored (placed too low) or exposed (placed too high).</t>
  </si>
  <si>
    <t xml:space="preserve">[PROPOSED:] Angles intake protocol = Swing Check (Behind / Between Legs / Green Zone diagnostic on forehand) + 3-rally tactical observation + player written self-assessment. Output: validated Skill Track placement + separate Comp Track placement, with the two intentionally allowed to differ.</t>
  </si>
  <si>
    <t xml:space="preserve">AOS intake module, Piece 2 (Gates)</t>
  </si>
  <si>
    <t xml:space="preserve">FM-10</t>
  </si>
  <si>
    <t xml:space="preserve">Green 1, Green 2 (re-grounding for transfers)</t>
  </si>
  <si>
    <t xml:space="preserve">Mid-stage transfers may need 'tightening of the foundation' that reads as demotion if framed wrong. Curriculum has no explicit re-grounding language.</t>
  </si>
  <si>
    <t xml:space="preserve">Coach-facing translation (Piece 8) specifies framing for re-grounding phases — 'tightening the foundation' rather than 'going back.' Two-track independence lets Comp Track stay where match experience supports it while Skill Track does the technical work. Make this explicit in the Piece 8 language guide.</t>
  </si>
  <si>
    <t xml:space="preserve">Piece 8 (Coach-facing translation)</t>
  </si>
  <si>
    <t xml:space="preserve">FM-11</t>
  </si>
  <si>
    <t xml:space="preserve">Any stage during return-to-play window</t>
  </si>
  <si>
    <t xml:space="preserve">A7 Injury-Return</t>
  </si>
  <si>
    <t xml:space="preserve">Skill Track gates rely on rally-volume and match-volume evidence the returning player cannot produce in the return window. Without explicit Return-to-Play state, curriculum marks player as regressed when they are actually progressing through a constrained load envelope. ACR injury risk model also misreads the ramp-up if not differentiated from healthy chronic load.</t>
  </si>
  <si>
    <t xml:space="preserve">[PROPOSED:] AOS Load Management module adds explicit 'Return-to-Play' state, separate from 'Injury Risk' state. When set: Skill Track stage label preserved, Skill Track gate evaluation suspended, Fitness Path load-progression milestones substitute as evidence-of-progress. Re-entry assessment (Swing Check + load tolerance test + match-simulation) gates exit from Return-to-Play state.</t>
  </si>
  <si>
    <t xml:space="preserve">Piece 7 (Fitness Path), AOS Load Management module</t>
  </si>
  <si>
    <t xml:space="preserve">FM-12</t>
  </si>
  <si>
    <t xml:space="preserve">Orange 1 → Green 1 (accelerated)</t>
  </si>
  <si>
    <t xml:space="preserve">A8 Gap-Year / Late-Start</t>
  </si>
  <si>
    <t xml:space="preserve">Volume thresholds in Piece 9 are calibrated for color-band age groups. A late-start adult-adjacent player with strong cognition and athletic base can clear stage criteria in 30–50% of typical volume. Curriculum that enforces standard volume creates artificial drag and wastes the player's pacing advantage.</t>
  </si>
  <si>
    <t xml:space="preserve">[PROPOSED:] Piece 9 specifies archetype-aware volume modifiers. Late-start adult-adjacent archetype runs on accelerated volume thresholds at Red and Orange stages. Volume floor still exists (motor patterning needs reps regardless of cognition) but ceiling is elevated.</t>
  </si>
  <si>
    <t xml:space="preserve">FM-13</t>
  </si>
  <si>
    <t xml:space="preserve">Pre-Green 1</t>
  </si>
  <si>
    <t xml:space="preserve">Opening Competition Track too early for late-starter with immature motor patterns risks pattern-poisoning under match pressure. Standard Competition Track entry rules don't differentiate by archetype.</t>
  </si>
  <si>
    <t xml:space="preserve">[PROPOSED:] Competition Track entry rule for A8: opens only at Skill Track Green 1 entry, not earlier. Until then, internal controlled-condition matches only — no external tournament play. Piece 6 (Competition Track) specifies this as an archetype-aware rule, not a global one.</t>
  </si>
  <si>
    <t xml:space="preserve">Piece 6 (Competition Track)</t>
  </si>
  <si>
    <t xml:space="preserve">FM-14</t>
  </si>
  <si>
    <t xml:space="preserve">All stages</t>
  </si>
  <si>
    <t xml:space="preserve">All archetypes (cross-cutting)</t>
  </si>
  <si>
    <t xml:space="preserve">The 15-stage matrix as currently scoped does not surface archetype context to the coach at the moment of decision. Coach reads gate evidence in isolation. All archetype-specific adjustments above will fail to land if the AOS UI doesn't carry the archetype tag forward into every relevant screen.</t>
  </si>
  <si>
    <t xml:space="preserve">[PROPOSED:] AOS player record includes a primary archetype tag (and optional secondary). Every stage-progression and gate-evaluation screen surfaces the archetype tag and any archetype-specific modifiers in effect (volume-extended, Recreation flag, Return-to-Play state, label-suppressed, accelerated-volume). This is the integration point that makes the archetype work observable rather than aspirational.</t>
  </si>
  <si>
    <t xml:space="preserve">AOS data model (cross-cutting)</t>
  </si>
  <si>
    <t xml:space="preserve">SUMMARY</t>
  </si>
  <si>
    <t xml:space="preserve">CRITICAL count</t>
  </si>
  <si>
    <t xml:space="preserve">HIGH count</t>
  </si>
  <si>
    <t xml:space="preserve">MEDIUM count</t>
  </si>
  <si>
    <t xml:space="preserve">LOW count</t>
  </si>
  <si>
    <t xml:space="preserve">TOTAL</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</si>
</sst>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8"/>
      <color rgb="FF060606"/>
      <name val="Arial"/>
      <family val="0"/>
      <charset val="1"/>
    </font>
    <font>
      <i val="true"/>
      <sz val="12"/>
      <color rgb="FF666666"/>
      <name val="Arial"/>
      <family val="0"/>
      <charset val="1"/>
    </font>
    <font>
      <b val="true"/>
      <sz val="13"/>
      <color rgb="FF060606"/>
      <name val="Arial"/>
      <family val="0"/>
      <charset val="1"/>
    </font>
    <font>
      <sz val="11"/>
      <color rgb="FF222222"/>
      <name val="Arial"/>
      <family val="0"/>
      <charset val="1"/>
    </font>
    <font>
      <b val="true"/>
      <sz val="11"/>
      <color rgb="FFFFFFFF"/>
      <name val="Arial"/>
      <family val="0"/>
      <charset val="1"/>
    </font>
    <font>
      <b val="true"/>
      <sz val="11"/>
      <color rgb="FF060606"/>
      <name val="Arial"/>
      <family val="0"/>
      <charset val="1"/>
    </font>
    <font>
      <b val="true"/>
      <sz val="11"/>
      <color rgb="FF222222"/>
      <name val="Arial"/>
      <family val="0"/>
      <charset val="1"/>
    </font>
    <font>
      <sz val="10"/>
      <color rgb="FF222222"/>
      <name val="Arial"/>
      <family val="0"/>
      <charset val="1"/>
    </font>
    <font>
      <sz val="10"/>
      <color rgb="FF999999"/>
      <name val="Arial"/>
      <family val="0"/>
      <charset val="1"/>
    </font>
    <font>
      <b val="true"/>
      <sz val="10"/>
      <color rgb="FF060606"/>
      <name val="Arial"/>
      <family val="0"/>
      <charset val="1"/>
    </font>
    <font>
      <b val="true"/>
      <sz val="10"/>
      <color rgb="FF666666"/>
      <name val="Arial"/>
      <family val="0"/>
      <charset val="1"/>
    </font>
    <font>
      <b val="true"/>
      <sz val="10"/>
      <color rgb="FF222222"/>
      <name val="Arial"/>
      <family val="0"/>
      <charset val="1"/>
    </font>
    <font>
      <b val="true"/>
      <sz val="10"/>
      <color rgb="FFFFFFFF"/>
      <name val="Arial"/>
      <family val="0"/>
      <charset val="1"/>
    </font>
    <font>
      <b val="true"/>
      <sz val="12"/>
      <color rgb="FF060606"/>
      <name val="Arial"/>
      <family val="0"/>
      <charset val="1"/>
    </font>
  </fonts>
  <fills count="17">
    <fill>
      <patternFill patternType="none"/>
    </fill>
    <fill>
      <patternFill patternType="gray125"/>
    </fill>
    <fill>
      <patternFill patternType="solid">
        <fgColor rgb="FFC8FF00"/>
        <bgColor rgb="FFFFFF00"/>
      </patternFill>
    </fill>
    <fill>
      <patternFill patternType="solid">
        <fgColor rgb="FFEFEFEF"/>
        <bgColor rgb="FFF0F0F0"/>
      </patternFill>
    </fill>
    <fill>
      <patternFill patternType="solid">
        <fgColor rgb="FF16161A"/>
        <bgColor rgb="FF222222"/>
      </patternFill>
    </fill>
    <fill>
      <patternFill patternType="solid">
        <fgColor rgb="FFFF6B6B"/>
        <bgColor rgb="FFFF6600"/>
      </patternFill>
    </fill>
    <fill>
      <patternFill patternType="solid">
        <fgColor rgb="FFF0F0F0"/>
        <bgColor rgb="FFEFEFEF"/>
      </patternFill>
    </fill>
    <fill>
      <patternFill patternType="solid">
        <fgColor rgb="FFF4FFCF"/>
        <bgColor rgb="FFFFF2CC"/>
      </patternFill>
    </fill>
    <fill>
      <patternFill patternType="solid">
        <fgColor rgb="FFFFFFFF"/>
        <bgColor rgb="FFF0F0F0"/>
      </patternFill>
    </fill>
    <fill>
      <patternFill patternType="solid">
        <fgColor rgb="FFFF9F43"/>
        <bgColor rgb="FFFF6B6B"/>
      </patternFill>
    </fill>
    <fill>
      <patternFill patternType="solid">
        <fgColor rgb="FFFFF2CC"/>
        <bgColor rgb="FFF4FFCF"/>
      </patternFill>
    </fill>
    <fill>
      <patternFill patternType="solid">
        <fgColor rgb="FFFFE0E0"/>
        <bgColor rgb="FFEFEFEF"/>
      </patternFill>
    </fill>
    <fill>
      <patternFill patternType="solid">
        <fgColor rgb="FF10AC84"/>
        <bgColor rgb="FF008080"/>
      </patternFill>
    </fill>
    <fill>
      <patternFill patternType="solid">
        <fgColor rgb="FFFFD93D"/>
        <bgColor rgb="FFFFFF00"/>
      </patternFill>
    </fill>
    <fill>
      <patternFill patternType="solid">
        <fgColor rgb="FF5F27CD"/>
        <bgColor rgb="FF800080"/>
      </patternFill>
    </fill>
    <fill>
      <patternFill patternType="solid">
        <fgColor rgb="FFE0E8FF"/>
        <bgColor rgb="FFEFEFEF"/>
      </patternFill>
    </fill>
    <fill>
      <patternFill patternType="solid">
        <fgColor rgb="FFDDF7C9"/>
        <bgColor rgb="FFF4FFC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15" fillId="10"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13" fillId="13" borderId="1" xfId="0" applyFont="true" applyBorder="true" applyAlignment="true" applyProtection="false">
      <alignment horizontal="center" vertical="center" textRotation="0" wrapText="false" indent="0" shrinkToFit="false"/>
      <protection locked="true" hidden="false"/>
    </xf>
    <xf numFmtId="164" fontId="16" fillId="14" borderId="1" xfId="0" applyFont="true" applyBorder="true" applyAlignment="true" applyProtection="false">
      <alignment horizontal="center" vertical="center" textRotation="0" wrapText="false" indent="0" shrinkToFit="false"/>
      <protection locked="true" hidden="false"/>
    </xf>
    <xf numFmtId="164" fontId="15" fillId="15" borderId="1" xfId="0" applyFont="true" applyBorder="true" applyAlignment="true" applyProtection="false">
      <alignment horizontal="center" vertical="center" textRotation="0" wrapText="false" indent="0" shrinkToFit="false"/>
      <protection locked="true" hidden="false"/>
    </xf>
    <xf numFmtId="164" fontId="14" fillId="14"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64" fontId="15" fillId="16" borderId="1"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5" fontId="11" fillId="11" borderId="1" xfId="0" applyFont="true" applyBorder="true" applyAlignment="true" applyProtection="false">
      <alignment horizontal="center" vertical="center" textRotation="0" wrapText="false" indent="0" shrinkToFit="false"/>
      <protection locked="true" hidden="false"/>
    </xf>
    <xf numFmtId="165" fontId="11" fillId="10" borderId="1" xfId="0" applyFont="true" applyBorder="true" applyAlignment="true" applyProtection="false">
      <alignment horizontal="center" vertical="center" textRotation="0" wrapText="false" indent="0" shrinkToFit="false"/>
      <protection locked="true" hidden="false"/>
    </xf>
    <xf numFmtId="165" fontId="11" fillId="16"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5" fontId="15"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C8FF00"/>
      <rgbColor rgb="FFFF00FF"/>
      <rgbColor rgb="FF00FFFF"/>
      <rgbColor rgb="FF800000"/>
      <rgbColor rgb="FF008000"/>
      <rgbColor rgb="FF060606"/>
      <rgbColor rgb="FF808000"/>
      <rgbColor rgb="FF800080"/>
      <rgbColor rgb="FF008080"/>
      <rgbColor rgb="FFEFEFEF"/>
      <rgbColor rgb="FF808080"/>
      <rgbColor rgb="FF9999FF"/>
      <rgbColor rgb="FF993366"/>
      <rgbColor rgb="FFF4FFCF"/>
      <rgbColor rgb="FFE0E8FF"/>
      <rgbColor rgb="FF660066"/>
      <rgbColor rgb="FFFF6B6B"/>
      <rgbColor rgb="FF0066CC"/>
      <rgbColor rgb="FFDDDDDD"/>
      <rgbColor rgb="FF000080"/>
      <rgbColor rgb="FFFF00FF"/>
      <rgbColor rgb="FFFFFF00"/>
      <rgbColor rgb="FF00FFFF"/>
      <rgbColor rgb="FF800080"/>
      <rgbColor rgb="FF800000"/>
      <rgbColor rgb="FF008080"/>
      <rgbColor rgb="FF0000FF"/>
      <rgbColor rgb="FF00CCFF"/>
      <rgbColor rgb="FFF0F0F0"/>
      <rgbColor rgb="FFDDF7C9"/>
      <rgbColor rgb="FFFFF2CC"/>
      <rgbColor rgb="FF99CCFF"/>
      <rgbColor rgb="FFFF99CC"/>
      <rgbColor rgb="FFCC99FF"/>
      <rgbColor rgb="FFFFE0E0"/>
      <rgbColor rgb="FF3366FF"/>
      <rgbColor rgb="FF33CCCC"/>
      <rgbColor rgb="FF99CC00"/>
      <rgbColor rgb="FFFFD93D"/>
      <rgbColor rgb="FFFF9F43"/>
      <rgbColor rgb="FFFF6600"/>
      <rgbColor rgb="FF666666"/>
      <rgbColor rgb="FF999999"/>
      <rgbColor rgb="FF003366"/>
      <rgbColor rgb="FF10AC84"/>
      <rgbColor rgb="FF16161A"/>
      <rgbColor rgb="FF333300"/>
      <rgbColor rgb="FF993300"/>
      <rgbColor rgb="FF993366"/>
      <rgbColor rgb="FF5F27CD"/>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31.5" hidden="false" customHeight="true" outlineLevel="0" collapsed="false">
      <c r="A1" s="1" t="s">
        <v>0</v>
      </c>
    </row>
    <row r="2" customFormat="false" ht="19.5" hidden="false" customHeight="true" outlineLevel="0" collapsed="false">
      <c r="A2" s="2" t="s">
        <v>1</v>
      </c>
    </row>
    <row r="4" customFormat="false" ht="21.75" hidden="false" customHeight="true" outlineLevel="0" collapsed="false">
      <c r="A4" s="3" t="s">
        <v>2</v>
      </c>
    </row>
    <row r="6" customFormat="false" ht="90" hidden="false" customHeight="true" outlineLevel="0" collapsed="false">
      <c r="A6" s="4" t="s">
        <v>3</v>
      </c>
    </row>
    <row r="8" customFormat="false" ht="75" hidden="false" customHeight="true" outlineLevel="0" collapsed="false">
      <c r="A8" s="4" t="s">
        <v>4</v>
      </c>
    </row>
    <row r="10" customFormat="false" ht="21.75" hidden="false" customHeight="true" outlineLevel="0" collapsed="false">
      <c r="A10" s="3" t="s">
        <v>5</v>
      </c>
    </row>
    <row r="12" customFormat="false" ht="45" hidden="false" customHeight="true" outlineLevel="0" collapsed="false">
      <c r="A12" s="4" t="s">
        <v>6</v>
      </c>
    </row>
    <row r="13" customFormat="false" ht="60" hidden="false" customHeight="true" outlineLevel="0" collapsed="false">
      <c r="A13" s="4" t="s">
        <v>7</v>
      </c>
    </row>
    <row r="14" customFormat="false" ht="30" hidden="false" customHeight="true" outlineLevel="0" collapsed="false">
      <c r="A14" s="4" t="s">
        <v>8</v>
      </c>
    </row>
    <row r="15" customFormat="false" ht="30" hidden="false" customHeight="true" outlineLevel="0" collapsed="false">
      <c r="A15" s="4" t="s">
        <v>9</v>
      </c>
    </row>
    <row r="17" customFormat="false" ht="21.75" hidden="false" customHeight="true" outlineLevel="0" collapsed="false">
      <c r="A17" s="3" t="s">
        <v>10</v>
      </c>
    </row>
    <row r="19" customFormat="false" ht="30" hidden="false" customHeight="true" outlineLevel="0" collapsed="false">
      <c r="A19" s="4" t="s">
        <v>11</v>
      </c>
    </row>
    <row r="20" customFormat="false" ht="45" hidden="false" customHeight="true" outlineLevel="0" collapsed="false">
      <c r="A20" s="4" t="s">
        <v>12</v>
      </c>
    </row>
    <row r="21" customFormat="false" ht="45" hidden="false" customHeight="true" outlineLevel="0" collapsed="false">
      <c r="A21" s="4" t="s">
        <v>13</v>
      </c>
    </row>
    <row r="23" customFormat="false" ht="21.75" hidden="false" customHeight="true" outlineLevel="0" collapsed="false">
      <c r="A23" s="3" t="s">
        <v>14</v>
      </c>
    </row>
    <row r="25" customFormat="false" ht="45" hidden="false" customHeight="true" outlineLevel="0" collapsed="false">
      <c r="A25" s="4" t="s">
        <v>15</v>
      </c>
    </row>
    <row r="26" customFormat="false" ht="18" hidden="false" customHeight="true" outlineLevel="0" collapsed="false">
      <c r="A26" s="4" t="s">
        <v>16</v>
      </c>
    </row>
    <row r="27" customFormat="false" ht="30" hidden="false" customHeight="true" outlineLevel="0" collapsed="false">
      <c r="A27" s="4" t="s">
        <v>17</v>
      </c>
    </row>
    <row r="28" customFormat="false" ht="18" hidden="false" customHeight="true" outlineLevel="0" collapsed="false">
      <c r="A28" s="4" t="s">
        <v>18</v>
      </c>
    </row>
    <row r="29" customFormat="false" ht="18" hidden="false" customHeight="true" outlineLevel="0" collapsed="false">
      <c r="A29" s="4" t="s">
        <v>19</v>
      </c>
    </row>
    <row r="30" customFormat="false" ht="18" hidden="false" customHeight="true" outlineLevel="0" collapsed="false">
      <c r="A30" s="4" t="s">
        <v>20</v>
      </c>
    </row>
    <row r="32" customFormat="false" ht="21.75" hidden="false" customHeight="true" outlineLevel="0" collapsed="false">
      <c r="A32" s="3" t="s">
        <v>21</v>
      </c>
    </row>
    <row r="34" customFormat="false" ht="18" hidden="false" customHeight="true" outlineLevel="0" collapsed="false">
      <c r="A34" s="4" t="s">
        <v>22</v>
      </c>
    </row>
    <row r="35" customFormat="false" ht="18" hidden="false" customHeight="true" outlineLevel="0" collapsed="false">
      <c r="A35" s="4" t="s">
        <v>23</v>
      </c>
    </row>
    <row r="36" customFormat="false" ht="18" hidden="false" customHeight="true" outlineLevel="0" collapsed="false">
      <c r="A36" s="4" t="s">
        <v>24</v>
      </c>
    </row>
    <row r="37" customFormat="false" ht="18" hidden="false" customHeight="true" outlineLevel="0" collapsed="false">
      <c r="A37" s="4" t="s">
        <v>25</v>
      </c>
    </row>
    <row r="38" customFormat="false" ht="18" hidden="false" customHeight="true" outlineLevel="0" collapsed="false">
      <c r="A38" s="4" t="s">
        <v>26</v>
      </c>
    </row>
    <row r="39" customFormat="false" ht="18" hidden="false" customHeight="true" outlineLevel="0" collapsed="false">
      <c r="A39" s="4" t="s">
        <v>27</v>
      </c>
    </row>
    <row r="40" customFormat="false" ht="18" hidden="false" customHeight="true" outlineLevel="0" collapsed="false">
      <c r="A40" s="4" t="s">
        <v>28</v>
      </c>
    </row>
    <row r="41" customFormat="false" ht="18" hidden="false" customHeight="true" outlineLevel="0" collapsed="false">
      <c r="A41" s="4" t="s">
        <v>29</v>
      </c>
    </row>
    <row r="42" customFormat="false" ht="18" hidden="false" customHeight="true" outlineLevel="0" collapsed="false">
      <c r="A42" s="4" t="s">
        <v>30</v>
      </c>
    </row>
    <row r="43" customFormat="false" ht="18" hidden="false" customHeight="true" outlineLevel="0" collapsed="false">
      <c r="A43" s="4" t="s">
        <v>31</v>
      </c>
    </row>
    <row r="45" customFormat="false" ht="21.75" hidden="false" customHeight="true" outlineLevel="0" collapsed="false">
      <c r="A45" s="3" t="s">
        <v>32</v>
      </c>
    </row>
    <row r="47" customFormat="false" ht="75" hidden="false" customHeight="true" outlineLevel="0" collapsed="false">
      <c r="A47" s="4" t="s">
        <v>33</v>
      </c>
    </row>
    <row r="49" customFormat="false" ht="45" hidden="false" customHeight="true" outlineLevel="0" collapsed="false">
      <c r="A49" s="4"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2"/>
    <col collapsed="false" customWidth="true" hidden="false" outlineLevel="0" max="4" min="4" style="0" width="22"/>
    <col collapsed="false" customWidth="true" hidden="false" outlineLevel="0" max="5" min="5" style="0" width="55"/>
    <col collapsed="false" customWidth="true" hidden="false" outlineLevel="0" max="6" min="6" style="0" width="45"/>
    <col collapsed="false" customWidth="true" hidden="false" outlineLevel="0" max="7" min="7" style="0" width="50"/>
    <col collapsed="false" customWidth="true" hidden="false" outlineLevel="0" max="8" min="8" style="0" width="45"/>
  </cols>
  <sheetData>
    <row r="1" customFormat="false" ht="27.75" hidden="false" customHeight="true" outlineLevel="0" collapsed="false">
      <c r="A1" s="5" t="s">
        <v>35</v>
      </c>
      <c r="B1" s="5" t="s">
        <v>36</v>
      </c>
      <c r="C1" s="5" t="s">
        <v>37</v>
      </c>
      <c r="D1" s="5" t="s">
        <v>38</v>
      </c>
      <c r="E1" s="5" t="s">
        <v>39</v>
      </c>
      <c r="F1" s="5" t="s">
        <v>40</v>
      </c>
      <c r="G1" s="5" t="s">
        <v>41</v>
      </c>
      <c r="H1" s="5" t="s">
        <v>42</v>
      </c>
    </row>
    <row r="2" customFormat="false" ht="129.75" hidden="false" customHeight="true" outlineLevel="0" collapsed="false">
      <c r="A2" s="6" t="s">
        <v>43</v>
      </c>
      <c r="B2" s="7" t="s">
        <v>44</v>
      </c>
      <c r="C2" s="8" t="s">
        <v>45</v>
      </c>
      <c r="D2" s="8" t="s">
        <v>46</v>
      </c>
      <c r="E2" s="8" t="s">
        <v>47</v>
      </c>
      <c r="F2" s="8" t="s">
        <v>48</v>
      </c>
      <c r="G2" s="8" t="s">
        <v>49</v>
      </c>
      <c r="H2" s="8" t="s">
        <v>50</v>
      </c>
    </row>
    <row r="3" customFormat="false" ht="129.75" hidden="false" customHeight="true" outlineLevel="0" collapsed="false">
      <c r="A3" s="6" t="s">
        <v>51</v>
      </c>
      <c r="B3" s="7" t="s">
        <v>52</v>
      </c>
      <c r="C3" s="8" t="s">
        <v>53</v>
      </c>
      <c r="D3" s="8" t="s">
        <v>54</v>
      </c>
      <c r="E3" s="8" t="s">
        <v>55</v>
      </c>
      <c r="F3" s="8" t="s">
        <v>56</v>
      </c>
      <c r="G3" s="8" t="s">
        <v>57</v>
      </c>
      <c r="H3" s="8" t="s">
        <v>58</v>
      </c>
    </row>
    <row r="4" customFormat="false" ht="129.75" hidden="false" customHeight="true" outlineLevel="0" collapsed="false">
      <c r="A4" s="6" t="s">
        <v>59</v>
      </c>
      <c r="B4" s="7" t="s">
        <v>60</v>
      </c>
      <c r="C4" s="8" t="s">
        <v>61</v>
      </c>
      <c r="D4" s="8" t="s">
        <v>62</v>
      </c>
      <c r="E4" s="8" t="s">
        <v>63</v>
      </c>
      <c r="F4" s="8" t="s">
        <v>64</v>
      </c>
      <c r="G4" s="8" t="s">
        <v>65</v>
      </c>
      <c r="H4" s="8" t="s">
        <v>66</v>
      </c>
    </row>
    <row r="5" customFormat="false" ht="129.75" hidden="false" customHeight="true" outlineLevel="0" collapsed="false">
      <c r="A5" s="6" t="s">
        <v>67</v>
      </c>
      <c r="B5" s="7" t="s">
        <v>68</v>
      </c>
      <c r="C5" s="8" t="s">
        <v>69</v>
      </c>
      <c r="D5" s="8" t="s">
        <v>70</v>
      </c>
      <c r="E5" s="8" t="s">
        <v>71</v>
      </c>
      <c r="F5" s="8" t="s">
        <v>72</v>
      </c>
      <c r="G5" s="8" t="s">
        <v>73</v>
      </c>
      <c r="H5" s="8" t="s">
        <v>74</v>
      </c>
    </row>
    <row r="6" customFormat="false" ht="129.75" hidden="false" customHeight="true" outlineLevel="0" collapsed="false">
      <c r="A6" s="6" t="s">
        <v>75</v>
      </c>
      <c r="B6" s="7" t="s">
        <v>76</v>
      </c>
      <c r="C6" s="8" t="s">
        <v>77</v>
      </c>
      <c r="D6" s="8" t="s">
        <v>78</v>
      </c>
      <c r="E6" s="8" t="s">
        <v>79</v>
      </c>
      <c r="F6" s="8" t="s">
        <v>80</v>
      </c>
      <c r="G6" s="8" t="s">
        <v>81</v>
      </c>
      <c r="H6" s="8" t="s">
        <v>82</v>
      </c>
    </row>
    <row r="7" customFormat="false" ht="129.75" hidden="false" customHeight="true" outlineLevel="0" collapsed="false">
      <c r="A7" s="6" t="s">
        <v>83</v>
      </c>
      <c r="B7" s="7" t="s">
        <v>84</v>
      </c>
      <c r="C7" s="8" t="s">
        <v>85</v>
      </c>
      <c r="D7" s="8" t="s">
        <v>86</v>
      </c>
      <c r="E7" s="8" t="s">
        <v>87</v>
      </c>
      <c r="F7" s="8" t="s">
        <v>88</v>
      </c>
      <c r="G7" s="8" t="s">
        <v>89</v>
      </c>
      <c r="H7" s="8" t="s">
        <v>90</v>
      </c>
    </row>
    <row r="8" customFormat="false" ht="129.75" hidden="false" customHeight="true" outlineLevel="0" collapsed="false">
      <c r="A8" s="6" t="s">
        <v>91</v>
      </c>
      <c r="B8" s="7" t="s">
        <v>92</v>
      </c>
      <c r="C8" s="8" t="s">
        <v>93</v>
      </c>
      <c r="D8" s="8" t="s">
        <v>94</v>
      </c>
      <c r="E8" s="8" t="s">
        <v>95</v>
      </c>
      <c r="F8" s="8" t="s">
        <v>96</v>
      </c>
      <c r="G8" s="8" t="s">
        <v>97</v>
      </c>
      <c r="H8" s="8" t="s">
        <v>98</v>
      </c>
    </row>
    <row r="9" customFormat="false" ht="129.75" hidden="false" customHeight="true" outlineLevel="0" collapsed="false">
      <c r="A9" s="6" t="s">
        <v>99</v>
      </c>
      <c r="B9" s="7" t="s">
        <v>100</v>
      </c>
      <c r="C9" s="8" t="s">
        <v>101</v>
      </c>
      <c r="D9" s="8" t="s">
        <v>102</v>
      </c>
      <c r="E9" s="8" t="s">
        <v>103</v>
      </c>
      <c r="F9" s="8" t="s">
        <v>104</v>
      </c>
      <c r="G9" s="8" t="s">
        <v>105</v>
      </c>
      <c r="H9" s="8"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3" min="3" style="0" width="8"/>
    <col collapsed="false" customWidth="true" hidden="false" outlineLevel="0" max="4" min="4" style="0" width="12"/>
    <col collapsed="false" customWidth="true" hidden="false" outlineLevel="0" max="5" min="5" style="0" width="14"/>
    <col collapsed="false" customWidth="true" hidden="false" outlineLevel="0" max="6" min="6" style="0" width="90"/>
  </cols>
  <sheetData>
    <row r="1" customFormat="false" ht="25.5" hidden="false" customHeight="true" outlineLevel="0" collapsed="false">
      <c r="A1" s="5" t="s">
        <v>107</v>
      </c>
      <c r="B1" s="5" t="s">
        <v>35</v>
      </c>
      <c r="C1" s="5" t="s">
        <v>108</v>
      </c>
      <c r="D1" s="5" t="s">
        <v>109</v>
      </c>
      <c r="E1" s="5" t="s">
        <v>110</v>
      </c>
      <c r="F1" s="5" t="s">
        <v>111</v>
      </c>
    </row>
    <row r="2" customFormat="false" ht="18" hidden="false" customHeight="true" outlineLevel="0" collapsed="false">
      <c r="A2" s="9" t="s">
        <v>44</v>
      </c>
      <c r="B2" s="10" t="s">
        <v>43</v>
      </c>
      <c r="C2" s="9" t="n">
        <v>1</v>
      </c>
      <c r="D2" s="11" t="s">
        <v>112</v>
      </c>
      <c r="E2" s="12" t="s">
        <v>113</v>
      </c>
      <c r="F2" s="9" t="s">
        <v>114</v>
      </c>
    </row>
    <row r="3" customFormat="false" ht="18" hidden="false" customHeight="true" outlineLevel="0" collapsed="false">
      <c r="A3" s="8" t="s">
        <v>44</v>
      </c>
      <c r="B3" s="10" t="s">
        <v>43</v>
      </c>
      <c r="C3" s="8" t="n">
        <v>2</v>
      </c>
      <c r="D3" s="13" t="s">
        <v>46</v>
      </c>
      <c r="E3" s="14" t="s">
        <v>115</v>
      </c>
      <c r="F3" s="8" t="s">
        <v>116</v>
      </c>
    </row>
    <row r="4" customFormat="false" ht="18" hidden="false" customHeight="true" outlineLevel="0" collapsed="false">
      <c r="A4" s="8" t="s">
        <v>44</v>
      </c>
      <c r="B4" s="10" t="s">
        <v>43</v>
      </c>
      <c r="C4" s="8" t="n">
        <v>3</v>
      </c>
      <c r="D4" s="13" t="s">
        <v>117</v>
      </c>
      <c r="E4" s="15" t="s">
        <v>118</v>
      </c>
      <c r="F4" s="8" t="s">
        <v>119</v>
      </c>
    </row>
    <row r="5" customFormat="false" ht="18" hidden="false" customHeight="true" outlineLevel="0" collapsed="false">
      <c r="A5" s="8" t="s">
        <v>44</v>
      </c>
      <c r="B5" s="10" t="s">
        <v>43</v>
      </c>
      <c r="C5" s="8" t="n">
        <v>4</v>
      </c>
      <c r="D5" s="16" t="s">
        <v>54</v>
      </c>
      <c r="E5" s="15" t="s">
        <v>118</v>
      </c>
      <c r="F5" s="8" t="s">
        <v>120</v>
      </c>
    </row>
    <row r="6" customFormat="false" ht="42" hidden="false" customHeight="true" outlineLevel="0" collapsed="false">
      <c r="A6" s="8" t="s">
        <v>44</v>
      </c>
      <c r="B6" s="10" t="s">
        <v>43</v>
      </c>
      <c r="C6" s="8" t="n">
        <v>5</v>
      </c>
      <c r="D6" s="16" t="s">
        <v>70</v>
      </c>
      <c r="E6" s="17" t="s">
        <v>121</v>
      </c>
      <c r="F6" s="8" t="s">
        <v>122</v>
      </c>
    </row>
    <row r="7" customFormat="false" ht="69.75" hidden="false" customHeight="true" outlineLevel="0" collapsed="false">
      <c r="A7" s="8" t="s">
        <v>44</v>
      </c>
      <c r="B7" s="10" t="s">
        <v>43</v>
      </c>
      <c r="C7" s="8" t="n">
        <v>6</v>
      </c>
      <c r="D7" s="16" t="s">
        <v>123</v>
      </c>
      <c r="E7" s="18" t="s">
        <v>124</v>
      </c>
      <c r="F7" s="8" t="s">
        <v>125</v>
      </c>
    </row>
    <row r="8" customFormat="false" ht="18" hidden="false" customHeight="true" outlineLevel="0" collapsed="false">
      <c r="A8" s="8" t="s">
        <v>44</v>
      </c>
      <c r="B8" s="10" t="s">
        <v>43</v>
      </c>
      <c r="C8" s="8" t="n">
        <v>7</v>
      </c>
      <c r="D8" s="19" t="s">
        <v>78</v>
      </c>
      <c r="E8" s="15" t="s">
        <v>118</v>
      </c>
      <c r="F8" s="8" t="s">
        <v>126</v>
      </c>
    </row>
    <row r="9" customFormat="false" ht="18" hidden="false" customHeight="true" outlineLevel="0" collapsed="false">
      <c r="A9" s="8" t="s">
        <v>44</v>
      </c>
      <c r="B9" s="10" t="s">
        <v>43</v>
      </c>
      <c r="C9" s="8" t="n">
        <v>8</v>
      </c>
      <c r="D9" s="19" t="s">
        <v>127</v>
      </c>
      <c r="E9" s="15" t="s">
        <v>118</v>
      </c>
      <c r="F9" s="8" t="s">
        <v>128</v>
      </c>
    </row>
    <row r="10" customFormat="false" ht="18" hidden="false" customHeight="true" outlineLevel="0" collapsed="false">
      <c r="A10" s="8" t="s">
        <v>44</v>
      </c>
      <c r="B10" s="10" t="s">
        <v>43</v>
      </c>
      <c r="C10" s="8" t="n">
        <v>9</v>
      </c>
      <c r="D10" s="19" t="s">
        <v>129</v>
      </c>
      <c r="E10" s="15" t="s">
        <v>118</v>
      </c>
      <c r="F10" s="8" t="s">
        <v>130</v>
      </c>
    </row>
    <row r="11" customFormat="false" ht="27.75" hidden="false" customHeight="true" outlineLevel="0" collapsed="false">
      <c r="A11" s="8" t="s">
        <v>44</v>
      </c>
      <c r="B11" s="10" t="s">
        <v>43</v>
      </c>
      <c r="C11" s="8" t="n">
        <v>10</v>
      </c>
      <c r="D11" s="20" t="s">
        <v>62</v>
      </c>
      <c r="E11" s="17" t="s">
        <v>121</v>
      </c>
      <c r="F11" s="8" t="s">
        <v>131</v>
      </c>
    </row>
    <row r="12" customFormat="false" ht="42" hidden="false" customHeight="true" outlineLevel="0" collapsed="false">
      <c r="A12" s="8" t="s">
        <v>44</v>
      </c>
      <c r="B12" s="10" t="s">
        <v>43</v>
      </c>
      <c r="C12" s="8" t="n">
        <v>11</v>
      </c>
      <c r="D12" s="20" t="s">
        <v>132</v>
      </c>
      <c r="E12" s="18" t="s">
        <v>124</v>
      </c>
      <c r="F12" s="8" t="s">
        <v>133</v>
      </c>
    </row>
    <row r="13" customFormat="false" ht="18" hidden="false" customHeight="true" outlineLevel="0" collapsed="false">
      <c r="A13" s="8" t="s">
        <v>44</v>
      </c>
      <c r="B13" s="10" t="s">
        <v>43</v>
      </c>
      <c r="C13" s="8" t="n">
        <v>12</v>
      </c>
      <c r="D13" s="20" t="s">
        <v>134</v>
      </c>
      <c r="E13" s="15" t="s">
        <v>118</v>
      </c>
      <c r="F13" s="8" t="s">
        <v>135</v>
      </c>
    </row>
    <row r="14" customFormat="false" ht="18" hidden="false" customHeight="true" outlineLevel="0" collapsed="false">
      <c r="A14" s="8" t="s">
        <v>44</v>
      </c>
      <c r="B14" s="10" t="s">
        <v>43</v>
      </c>
      <c r="C14" s="8" t="n">
        <v>13</v>
      </c>
      <c r="D14" s="21" t="s">
        <v>136</v>
      </c>
      <c r="E14" s="15" t="s">
        <v>118</v>
      </c>
      <c r="F14" s="8" t="s">
        <v>137</v>
      </c>
    </row>
    <row r="15" customFormat="false" ht="18" hidden="false" customHeight="true" outlineLevel="0" collapsed="false">
      <c r="A15" s="8" t="s">
        <v>44</v>
      </c>
      <c r="B15" s="10" t="s">
        <v>43</v>
      </c>
      <c r="C15" s="8" t="n">
        <v>14</v>
      </c>
      <c r="D15" s="21" t="s">
        <v>138</v>
      </c>
      <c r="E15" s="15" t="s">
        <v>118</v>
      </c>
      <c r="F15" s="8" t="s">
        <v>139</v>
      </c>
    </row>
    <row r="16" customFormat="false" ht="18" hidden="false" customHeight="true" outlineLevel="0" collapsed="false">
      <c r="A16" s="8" t="s">
        <v>44</v>
      </c>
      <c r="B16" s="10" t="s">
        <v>43</v>
      </c>
      <c r="C16" s="8" t="n">
        <v>15</v>
      </c>
      <c r="D16" s="21" t="s">
        <v>140</v>
      </c>
      <c r="E16" s="15" t="s">
        <v>118</v>
      </c>
      <c r="F16" s="8" t="s">
        <v>141</v>
      </c>
    </row>
    <row r="17" customFormat="false" ht="18" hidden="false" customHeight="true" outlineLevel="0" collapsed="false">
      <c r="A17" s="9" t="s">
        <v>52</v>
      </c>
      <c r="B17" s="10" t="s">
        <v>51</v>
      </c>
      <c r="C17" s="9" t="n">
        <v>1</v>
      </c>
      <c r="D17" s="11" t="s">
        <v>112</v>
      </c>
      <c r="E17" s="12" t="s">
        <v>113</v>
      </c>
      <c r="F17" s="9" t="s">
        <v>142</v>
      </c>
    </row>
    <row r="18" customFormat="false" ht="42" hidden="false" customHeight="true" outlineLevel="0" collapsed="false">
      <c r="A18" s="9" t="s">
        <v>52</v>
      </c>
      <c r="B18" s="10" t="s">
        <v>51</v>
      </c>
      <c r="C18" s="9" t="n">
        <v>2</v>
      </c>
      <c r="D18" s="11" t="s">
        <v>46</v>
      </c>
      <c r="E18" s="12" t="s">
        <v>113</v>
      </c>
      <c r="F18" s="9" t="s">
        <v>143</v>
      </c>
    </row>
    <row r="19" customFormat="false" ht="18" hidden="false" customHeight="true" outlineLevel="0" collapsed="false">
      <c r="A19" s="9" t="s">
        <v>52</v>
      </c>
      <c r="B19" s="10" t="s">
        <v>51</v>
      </c>
      <c r="C19" s="9" t="n">
        <v>3</v>
      </c>
      <c r="D19" s="11" t="s">
        <v>117</v>
      </c>
      <c r="E19" s="12" t="s">
        <v>113</v>
      </c>
      <c r="F19" s="9" t="s">
        <v>144</v>
      </c>
    </row>
    <row r="20" customFormat="false" ht="42" hidden="false" customHeight="true" outlineLevel="0" collapsed="false">
      <c r="A20" s="8" t="s">
        <v>52</v>
      </c>
      <c r="B20" s="10" t="s">
        <v>51</v>
      </c>
      <c r="C20" s="8" t="n">
        <v>4</v>
      </c>
      <c r="D20" s="16" t="s">
        <v>54</v>
      </c>
      <c r="E20" s="14" t="s">
        <v>115</v>
      </c>
      <c r="F20" s="8" t="s">
        <v>145</v>
      </c>
    </row>
    <row r="21" customFormat="false" ht="55.5" hidden="false" customHeight="true" outlineLevel="0" collapsed="false">
      <c r="A21" s="8" t="s">
        <v>52</v>
      </c>
      <c r="B21" s="10" t="s">
        <v>51</v>
      </c>
      <c r="C21" s="8" t="n">
        <v>5</v>
      </c>
      <c r="D21" s="16" t="s">
        <v>70</v>
      </c>
      <c r="E21" s="18" t="s">
        <v>124</v>
      </c>
      <c r="F21" s="8" t="s">
        <v>146</v>
      </c>
    </row>
    <row r="22" customFormat="false" ht="27.75" hidden="false" customHeight="true" outlineLevel="0" collapsed="false">
      <c r="A22" s="8" t="s">
        <v>52</v>
      </c>
      <c r="B22" s="10" t="s">
        <v>51</v>
      </c>
      <c r="C22" s="8" t="n">
        <v>6</v>
      </c>
      <c r="D22" s="16" t="s">
        <v>123</v>
      </c>
      <c r="E22" s="15" t="s">
        <v>118</v>
      </c>
      <c r="F22" s="8" t="s">
        <v>147</v>
      </c>
    </row>
    <row r="23" customFormat="false" ht="18" hidden="false" customHeight="true" outlineLevel="0" collapsed="false">
      <c r="A23" s="8" t="s">
        <v>52</v>
      </c>
      <c r="B23" s="10" t="s">
        <v>51</v>
      </c>
      <c r="C23" s="8" t="n">
        <v>7</v>
      </c>
      <c r="D23" s="19" t="s">
        <v>78</v>
      </c>
      <c r="E23" s="15" t="s">
        <v>118</v>
      </c>
      <c r="F23" s="8" t="s">
        <v>148</v>
      </c>
    </row>
    <row r="24" customFormat="false" ht="18" hidden="false" customHeight="true" outlineLevel="0" collapsed="false">
      <c r="A24" s="8" t="s">
        <v>52</v>
      </c>
      <c r="B24" s="10" t="s">
        <v>51</v>
      </c>
      <c r="C24" s="8" t="n">
        <v>8</v>
      </c>
      <c r="D24" s="19" t="s">
        <v>127</v>
      </c>
      <c r="E24" s="15" t="s">
        <v>118</v>
      </c>
      <c r="F24" s="8" t="s">
        <v>149</v>
      </c>
    </row>
    <row r="25" customFormat="false" ht="27.75" hidden="false" customHeight="true" outlineLevel="0" collapsed="false">
      <c r="A25" s="8" t="s">
        <v>52</v>
      </c>
      <c r="B25" s="10" t="s">
        <v>51</v>
      </c>
      <c r="C25" s="8" t="n">
        <v>9</v>
      </c>
      <c r="D25" s="19" t="s">
        <v>129</v>
      </c>
      <c r="E25" s="17" t="s">
        <v>121</v>
      </c>
      <c r="F25" s="8" t="s">
        <v>150</v>
      </c>
    </row>
    <row r="26" customFormat="false" ht="18" hidden="false" customHeight="true" outlineLevel="0" collapsed="false">
      <c r="A26" s="8" t="s">
        <v>52</v>
      </c>
      <c r="B26" s="10" t="s">
        <v>51</v>
      </c>
      <c r="C26" s="8" t="n">
        <v>10</v>
      </c>
      <c r="D26" s="20" t="s">
        <v>62</v>
      </c>
      <c r="E26" s="15" t="s">
        <v>118</v>
      </c>
      <c r="F26" s="8" t="s">
        <v>151</v>
      </c>
    </row>
    <row r="27" customFormat="false" ht="18" hidden="false" customHeight="true" outlineLevel="0" collapsed="false">
      <c r="A27" s="8" t="s">
        <v>52</v>
      </c>
      <c r="B27" s="10" t="s">
        <v>51</v>
      </c>
      <c r="C27" s="8" t="n">
        <v>11</v>
      </c>
      <c r="D27" s="20" t="s">
        <v>132</v>
      </c>
      <c r="E27" s="15" t="s">
        <v>118</v>
      </c>
      <c r="F27" s="8" t="s">
        <v>152</v>
      </c>
    </row>
    <row r="28" customFormat="false" ht="42" hidden="false" customHeight="true" outlineLevel="0" collapsed="false">
      <c r="A28" s="8" t="s">
        <v>52</v>
      </c>
      <c r="B28" s="10" t="s">
        <v>51</v>
      </c>
      <c r="C28" s="8" t="n">
        <v>12</v>
      </c>
      <c r="D28" s="20" t="s">
        <v>134</v>
      </c>
      <c r="E28" s="18" t="s">
        <v>124</v>
      </c>
      <c r="F28" s="8" t="s">
        <v>153</v>
      </c>
    </row>
    <row r="29" customFormat="false" ht="18" hidden="false" customHeight="true" outlineLevel="0" collapsed="false">
      <c r="A29" s="8" t="s">
        <v>52</v>
      </c>
      <c r="B29" s="10" t="s">
        <v>51</v>
      </c>
      <c r="C29" s="8" t="n">
        <v>13</v>
      </c>
      <c r="D29" s="21" t="s">
        <v>136</v>
      </c>
      <c r="E29" s="22" t="s">
        <v>154</v>
      </c>
      <c r="F29" s="8" t="s">
        <v>155</v>
      </c>
    </row>
    <row r="30" customFormat="false" ht="27.75" hidden="false" customHeight="true" outlineLevel="0" collapsed="false">
      <c r="A30" s="9" t="s">
        <v>52</v>
      </c>
      <c r="B30" s="10" t="s">
        <v>51</v>
      </c>
      <c r="C30" s="9" t="n">
        <v>14</v>
      </c>
      <c r="D30" s="23" t="s">
        <v>138</v>
      </c>
      <c r="E30" s="12" t="s">
        <v>113</v>
      </c>
      <c r="F30" s="9" t="s">
        <v>156</v>
      </c>
    </row>
    <row r="31" customFormat="false" ht="18" hidden="false" customHeight="true" outlineLevel="0" collapsed="false">
      <c r="A31" s="9" t="s">
        <v>52</v>
      </c>
      <c r="B31" s="10" t="s">
        <v>51</v>
      </c>
      <c r="C31" s="9" t="n">
        <v>15</v>
      </c>
      <c r="D31" s="23" t="s">
        <v>140</v>
      </c>
      <c r="E31" s="12" t="s">
        <v>113</v>
      </c>
      <c r="F31" s="9" t="s">
        <v>157</v>
      </c>
    </row>
    <row r="32" customFormat="false" ht="18" hidden="false" customHeight="true" outlineLevel="0" collapsed="false">
      <c r="A32" s="9" t="s">
        <v>60</v>
      </c>
      <c r="B32" s="10" t="s">
        <v>59</v>
      </c>
      <c r="C32" s="9" t="n">
        <v>1</v>
      </c>
      <c r="D32" s="11" t="s">
        <v>112</v>
      </c>
      <c r="E32" s="12" t="s">
        <v>113</v>
      </c>
      <c r="F32" s="9" t="s">
        <v>158</v>
      </c>
    </row>
    <row r="33" customFormat="false" ht="18" hidden="false" customHeight="true" outlineLevel="0" collapsed="false">
      <c r="A33" s="9" t="s">
        <v>60</v>
      </c>
      <c r="B33" s="10" t="s">
        <v>59</v>
      </c>
      <c r="C33" s="9" t="n">
        <v>2</v>
      </c>
      <c r="D33" s="11" t="s">
        <v>46</v>
      </c>
      <c r="E33" s="12" t="s">
        <v>113</v>
      </c>
      <c r="F33" s="9" t="s">
        <v>158</v>
      </c>
    </row>
    <row r="34" customFormat="false" ht="18" hidden="false" customHeight="true" outlineLevel="0" collapsed="false">
      <c r="A34" s="9" t="s">
        <v>60</v>
      </c>
      <c r="B34" s="10" t="s">
        <v>59</v>
      </c>
      <c r="C34" s="9" t="n">
        <v>3</v>
      </c>
      <c r="D34" s="11" t="s">
        <v>117</v>
      </c>
      <c r="E34" s="12" t="s">
        <v>113</v>
      </c>
      <c r="F34" s="9" t="s">
        <v>158</v>
      </c>
    </row>
    <row r="35" customFormat="false" ht="18" hidden="false" customHeight="true" outlineLevel="0" collapsed="false">
      <c r="A35" s="9" t="s">
        <v>60</v>
      </c>
      <c r="B35" s="10" t="s">
        <v>59</v>
      </c>
      <c r="C35" s="9" t="n">
        <v>4</v>
      </c>
      <c r="D35" s="24" t="s">
        <v>54</v>
      </c>
      <c r="E35" s="12" t="s">
        <v>113</v>
      </c>
      <c r="F35" s="9" t="s">
        <v>159</v>
      </c>
    </row>
    <row r="36" customFormat="false" ht="18" hidden="false" customHeight="true" outlineLevel="0" collapsed="false">
      <c r="A36" s="9" t="s">
        <v>60</v>
      </c>
      <c r="B36" s="10" t="s">
        <v>59</v>
      </c>
      <c r="C36" s="9" t="n">
        <v>5</v>
      </c>
      <c r="D36" s="24" t="s">
        <v>70</v>
      </c>
      <c r="E36" s="12" t="s">
        <v>113</v>
      </c>
      <c r="F36" s="9" t="s">
        <v>159</v>
      </c>
    </row>
    <row r="37" customFormat="false" ht="18" hidden="false" customHeight="true" outlineLevel="0" collapsed="false">
      <c r="A37" s="9" t="s">
        <v>60</v>
      </c>
      <c r="B37" s="10" t="s">
        <v>59</v>
      </c>
      <c r="C37" s="9" t="n">
        <v>6</v>
      </c>
      <c r="D37" s="24" t="s">
        <v>123</v>
      </c>
      <c r="E37" s="12" t="s">
        <v>113</v>
      </c>
      <c r="F37" s="9" t="s">
        <v>159</v>
      </c>
    </row>
    <row r="38" customFormat="false" ht="18" hidden="false" customHeight="true" outlineLevel="0" collapsed="false">
      <c r="A38" s="9" t="s">
        <v>60</v>
      </c>
      <c r="B38" s="10" t="s">
        <v>59</v>
      </c>
      <c r="C38" s="9" t="n">
        <v>7</v>
      </c>
      <c r="D38" s="25" t="s">
        <v>78</v>
      </c>
      <c r="E38" s="12" t="s">
        <v>113</v>
      </c>
      <c r="F38" s="9" t="s">
        <v>159</v>
      </c>
    </row>
    <row r="39" customFormat="false" ht="18" hidden="false" customHeight="true" outlineLevel="0" collapsed="false">
      <c r="A39" s="9" t="s">
        <v>60</v>
      </c>
      <c r="B39" s="10" t="s">
        <v>59</v>
      </c>
      <c r="C39" s="9" t="n">
        <v>8</v>
      </c>
      <c r="D39" s="25" t="s">
        <v>127</v>
      </c>
      <c r="E39" s="12" t="s">
        <v>113</v>
      </c>
      <c r="F39" s="9" t="s">
        <v>159</v>
      </c>
    </row>
    <row r="40" customFormat="false" ht="18" hidden="false" customHeight="true" outlineLevel="0" collapsed="false">
      <c r="A40" s="9" t="s">
        <v>60</v>
      </c>
      <c r="B40" s="10" t="s">
        <v>59</v>
      </c>
      <c r="C40" s="9" t="n">
        <v>9</v>
      </c>
      <c r="D40" s="25" t="s">
        <v>129</v>
      </c>
      <c r="E40" s="12" t="s">
        <v>113</v>
      </c>
      <c r="F40" s="9" t="s">
        <v>159</v>
      </c>
    </row>
    <row r="41" customFormat="false" ht="27.75" hidden="false" customHeight="true" outlineLevel="0" collapsed="false">
      <c r="A41" s="8" t="s">
        <v>60</v>
      </c>
      <c r="B41" s="10" t="s">
        <v>59</v>
      </c>
      <c r="C41" s="8" t="n">
        <v>10</v>
      </c>
      <c r="D41" s="20" t="s">
        <v>62</v>
      </c>
      <c r="E41" s="14" t="s">
        <v>115</v>
      </c>
      <c r="F41" s="8" t="s">
        <v>160</v>
      </c>
    </row>
    <row r="42" customFormat="false" ht="27.75" hidden="false" customHeight="true" outlineLevel="0" collapsed="false">
      <c r="A42" s="8" t="s">
        <v>60</v>
      </c>
      <c r="B42" s="10" t="s">
        <v>59</v>
      </c>
      <c r="C42" s="8" t="n">
        <v>11</v>
      </c>
      <c r="D42" s="20" t="s">
        <v>132</v>
      </c>
      <c r="E42" s="15" t="s">
        <v>118</v>
      </c>
      <c r="F42" s="8" t="s">
        <v>161</v>
      </c>
    </row>
    <row r="43" customFormat="false" ht="55.5" hidden="false" customHeight="true" outlineLevel="0" collapsed="false">
      <c r="A43" s="8" t="s">
        <v>60</v>
      </c>
      <c r="B43" s="10" t="s">
        <v>59</v>
      </c>
      <c r="C43" s="8" t="n">
        <v>12</v>
      </c>
      <c r="D43" s="20" t="s">
        <v>134</v>
      </c>
      <c r="E43" s="18" t="s">
        <v>124</v>
      </c>
      <c r="F43" s="8" t="s">
        <v>162</v>
      </c>
    </row>
    <row r="44" customFormat="false" ht="42" hidden="false" customHeight="true" outlineLevel="0" collapsed="false">
      <c r="A44" s="8" t="s">
        <v>60</v>
      </c>
      <c r="B44" s="10" t="s">
        <v>59</v>
      </c>
      <c r="C44" s="8" t="n">
        <v>13</v>
      </c>
      <c r="D44" s="21" t="s">
        <v>136</v>
      </c>
      <c r="E44" s="18" t="s">
        <v>124</v>
      </c>
      <c r="F44" s="8" t="s">
        <v>163</v>
      </c>
    </row>
    <row r="45" customFormat="false" ht="42" hidden="false" customHeight="true" outlineLevel="0" collapsed="false">
      <c r="A45" s="8" t="s">
        <v>60</v>
      </c>
      <c r="B45" s="10" t="s">
        <v>59</v>
      </c>
      <c r="C45" s="8" t="n">
        <v>14</v>
      </c>
      <c r="D45" s="21" t="s">
        <v>138</v>
      </c>
      <c r="E45" s="17" t="s">
        <v>121</v>
      </c>
      <c r="F45" s="8" t="s">
        <v>164</v>
      </c>
    </row>
    <row r="46" customFormat="false" ht="27.75" hidden="false" customHeight="true" outlineLevel="0" collapsed="false">
      <c r="A46" s="8" t="s">
        <v>60</v>
      </c>
      <c r="B46" s="10" t="s">
        <v>59</v>
      </c>
      <c r="C46" s="8" t="n">
        <v>15</v>
      </c>
      <c r="D46" s="21" t="s">
        <v>140</v>
      </c>
      <c r="E46" s="15" t="s">
        <v>118</v>
      </c>
      <c r="F46" s="8" t="s">
        <v>165</v>
      </c>
    </row>
    <row r="47" customFormat="false" ht="18" hidden="false" customHeight="true" outlineLevel="0" collapsed="false">
      <c r="A47" s="9" t="s">
        <v>68</v>
      </c>
      <c r="B47" s="10" t="s">
        <v>67</v>
      </c>
      <c r="C47" s="9" t="n">
        <v>1</v>
      </c>
      <c r="D47" s="11" t="s">
        <v>112</v>
      </c>
      <c r="E47" s="12" t="s">
        <v>113</v>
      </c>
      <c r="F47" s="9" t="s">
        <v>158</v>
      </c>
    </row>
    <row r="48" customFormat="false" ht="18" hidden="false" customHeight="true" outlineLevel="0" collapsed="false">
      <c r="A48" s="9" t="s">
        <v>68</v>
      </c>
      <c r="B48" s="10" t="s">
        <v>67</v>
      </c>
      <c r="C48" s="9" t="n">
        <v>2</v>
      </c>
      <c r="D48" s="11" t="s">
        <v>46</v>
      </c>
      <c r="E48" s="12" t="s">
        <v>113</v>
      </c>
      <c r="F48" s="9" t="s">
        <v>158</v>
      </c>
    </row>
    <row r="49" customFormat="false" ht="18" hidden="false" customHeight="true" outlineLevel="0" collapsed="false">
      <c r="A49" s="9" t="s">
        <v>68</v>
      </c>
      <c r="B49" s="10" t="s">
        <v>67</v>
      </c>
      <c r="C49" s="9" t="n">
        <v>3</v>
      </c>
      <c r="D49" s="11" t="s">
        <v>117</v>
      </c>
      <c r="E49" s="12" t="s">
        <v>113</v>
      </c>
      <c r="F49" s="9" t="s">
        <v>158</v>
      </c>
    </row>
    <row r="50" customFormat="false" ht="18" hidden="false" customHeight="true" outlineLevel="0" collapsed="false">
      <c r="A50" s="9" t="s">
        <v>68</v>
      </c>
      <c r="B50" s="10" t="s">
        <v>67</v>
      </c>
      <c r="C50" s="9" t="n">
        <v>4</v>
      </c>
      <c r="D50" s="24" t="s">
        <v>54</v>
      </c>
      <c r="E50" s="12" t="s">
        <v>113</v>
      </c>
      <c r="F50" s="9" t="s">
        <v>166</v>
      </c>
    </row>
    <row r="51" customFormat="false" ht="18" hidden="false" customHeight="true" outlineLevel="0" collapsed="false">
      <c r="A51" s="8" t="s">
        <v>68</v>
      </c>
      <c r="B51" s="10" t="s">
        <v>67</v>
      </c>
      <c r="C51" s="8" t="n">
        <v>5</v>
      </c>
      <c r="D51" s="16" t="s">
        <v>70</v>
      </c>
      <c r="E51" s="14" t="s">
        <v>115</v>
      </c>
      <c r="F51" s="8" t="s">
        <v>167</v>
      </c>
    </row>
    <row r="52" customFormat="false" ht="69.75" hidden="false" customHeight="true" outlineLevel="0" collapsed="false">
      <c r="A52" s="8" t="s">
        <v>68</v>
      </c>
      <c r="B52" s="10" t="s">
        <v>67</v>
      </c>
      <c r="C52" s="8" t="n">
        <v>6</v>
      </c>
      <c r="D52" s="16" t="s">
        <v>123</v>
      </c>
      <c r="E52" s="18" t="s">
        <v>124</v>
      </c>
      <c r="F52" s="8" t="s">
        <v>168</v>
      </c>
    </row>
    <row r="53" customFormat="false" ht="18" hidden="false" customHeight="true" outlineLevel="0" collapsed="false">
      <c r="A53" s="8" t="s">
        <v>68</v>
      </c>
      <c r="B53" s="10" t="s">
        <v>67</v>
      </c>
      <c r="C53" s="8" t="n">
        <v>7</v>
      </c>
      <c r="D53" s="19" t="s">
        <v>78</v>
      </c>
      <c r="E53" s="15" t="s">
        <v>118</v>
      </c>
      <c r="F53" s="8" t="s">
        <v>169</v>
      </c>
    </row>
    <row r="54" customFormat="false" ht="18" hidden="false" customHeight="true" outlineLevel="0" collapsed="false">
      <c r="A54" s="8" t="s">
        <v>68</v>
      </c>
      <c r="B54" s="10" t="s">
        <v>67</v>
      </c>
      <c r="C54" s="8" t="n">
        <v>8</v>
      </c>
      <c r="D54" s="19" t="s">
        <v>127</v>
      </c>
      <c r="E54" s="15" t="s">
        <v>118</v>
      </c>
      <c r="F54" s="8" t="s">
        <v>170</v>
      </c>
    </row>
    <row r="55" customFormat="false" ht="42" hidden="false" customHeight="true" outlineLevel="0" collapsed="false">
      <c r="A55" s="8" t="s">
        <v>68</v>
      </c>
      <c r="B55" s="10" t="s">
        <v>67</v>
      </c>
      <c r="C55" s="8" t="n">
        <v>9</v>
      </c>
      <c r="D55" s="19" t="s">
        <v>129</v>
      </c>
      <c r="E55" s="22" t="s">
        <v>154</v>
      </c>
      <c r="F55" s="8" t="s">
        <v>171</v>
      </c>
    </row>
    <row r="56" customFormat="false" ht="18" hidden="false" customHeight="true" outlineLevel="0" collapsed="false">
      <c r="A56" s="9" t="s">
        <v>68</v>
      </c>
      <c r="B56" s="10" t="s">
        <v>67</v>
      </c>
      <c r="C56" s="9" t="n">
        <v>10</v>
      </c>
      <c r="D56" s="26" t="s">
        <v>62</v>
      </c>
      <c r="E56" s="12" t="s">
        <v>113</v>
      </c>
      <c r="F56" s="9" t="s">
        <v>172</v>
      </c>
    </row>
    <row r="57" customFormat="false" ht="18" hidden="false" customHeight="true" outlineLevel="0" collapsed="false">
      <c r="A57" s="9" t="s">
        <v>68</v>
      </c>
      <c r="B57" s="10" t="s">
        <v>67</v>
      </c>
      <c r="C57" s="9" t="n">
        <v>11</v>
      </c>
      <c r="D57" s="26" t="s">
        <v>132</v>
      </c>
      <c r="E57" s="12" t="s">
        <v>113</v>
      </c>
      <c r="F57" s="9" t="s">
        <v>173</v>
      </c>
    </row>
    <row r="58" customFormat="false" ht="18" hidden="false" customHeight="true" outlineLevel="0" collapsed="false">
      <c r="A58" s="9" t="s">
        <v>68</v>
      </c>
      <c r="B58" s="10" t="s">
        <v>67</v>
      </c>
      <c r="C58" s="9" t="n">
        <v>12</v>
      </c>
      <c r="D58" s="26" t="s">
        <v>134</v>
      </c>
      <c r="E58" s="12" t="s">
        <v>113</v>
      </c>
      <c r="F58" s="9" t="s">
        <v>173</v>
      </c>
    </row>
    <row r="59" customFormat="false" ht="18" hidden="false" customHeight="true" outlineLevel="0" collapsed="false">
      <c r="A59" s="9" t="s">
        <v>68</v>
      </c>
      <c r="B59" s="10" t="s">
        <v>67</v>
      </c>
      <c r="C59" s="9" t="n">
        <v>13</v>
      </c>
      <c r="D59" s="23" t="s">
        <v>136</v>
      </c>
      <c r="E59" s="12" t="s">
        <v>113</v>
      </c>
      <c r="F59" s="9" t="s">
        <v>173</v>
      </c>
    </row>
    <row r="60" customFormat="false" ht="18" hidden="false" customHeight="true" outlineLevel="0" collapsed="false">
      <c r="A60" s="9" t="s">
        <v>68</v>
      </c>
      <c r="B60" s="10" t="s">
        <v>67</v>
      </c>
      <c r="C60" s="9" t="n">
        <v>14</v>
      </c>
      <c r="D60" s="23" t="s">
        <v>138</v>
      </c>
      <c r="E60" s="12" t="s">
        <v>113</v>
      </c>
      <c r="F60" s="9" t="s">
        <v>173</v>
      </c>
    </row>
    <row r="61" customFormat="false" ht="18" hidden="false" customHeight="true" outlineLevel="0" collapsed="false">
      <c r="A61" s="9" t="s">
        <v>68</v>
      </c>
      <c r="B61" s="10" t="s">
        <v>67</v>
      </c>
      <c r="C61" s="9" t="n">
        <v>15</v>
      </c>
      <c r="D61" s="23" t="s">
        <v>140</v>
      </c>
      <c r="E61" s="12" t="s">
        <v>113</v>
      </c>
      <c r="F61" s="9" t="s">
        <v>173</v>
      </c>
    </row>
    <row r="62" customFormat="false" ht="18" hidden="false" customHeight="true" outlineLevel="0" collapsed="false">
      <c r="A62" s="9" t="s">
        <v>76</v>
      </c>
      <c r="B62" s="10" t="s">
        <v>75</v>
      </c>
      <c r="C62" s="9" t="n">
        <v>1</v>
      </c>
      <c r="D62" s="11" t="s">
        <v>112</v>
      </c>
      <c r="E62" s="12" t="s">
        <v>113</v>
      </c>
      <c r="F62" s="9" t="s">
        <v>174</v>
      </c>
    </row>
    <row r="63" customFormat="false" ht="18" hidden="false" customHeight="true" outlineLevel="0" collapsed="false">
      <c r="A63" s="9" t="s">
        <v>76</v>
      </c>
      <c r="B63" s="10" t="s">
        <v>75</v>
      </c>
      <c r="C63" s="9" t="n">
        <v>2</v>
      </c>
      <c r="D63" s="11" t="s">
        <v>46</v>
      </c>
      <c r="E63" s="12" t="s">
        <v>113</v>
      </c>
      <c r="F63" s="9" t="s">
        <v>175</v>
      </c>
    </row>
    <row r="64" customFormat="false" ht="18" hidden="false" customHeight="true" outlineLevel="0" collapsed="false">
      <c r="A64" s="9" t="s">
        <v>76</v>
      </c>
      <c r="B64" s="10" t="s">
        <v>75</v>
      </c>
      <c r="C64" s="9" t="n">
        <v>3</v>
      </c>
      <c r="D64" s="11" t="s">
        <v>117</v>
      </c>
      <c r="E64" s="12" t="s">
        <v>113</v>
      </c>
      <c r="F64" s="9" t="s">
        <v>175</v>
      </c>
    </row>
    <row r="65" customFormat="false" ht="18" hidden="false" customHeight="true" outlineLevel="0" collapsed="false">
      <c r="A65" s="9" t="s">
        <v>76</v>
      </c>
      <c r="B65" s="10" t="s">
        <v>75</v>
      </c>
      <c r="C65" s="9" t="n">
        <v>4</v>
      </c>
      <c r="D65" s="24" t="s">
        <v>54</v>
      </c>
      <c r="E65" s="12" t="s">
        <v>113</v>
      </c>
      <c r="F65" s="9" t="s">
        <v>159</v>
      </c>
    </row>
    <row r="66" customFormat="false" ht="18" hidden="false" customHeight="true" outlineLevel="0" collapsed="false">
      <c r="A66" s="9" t="s">
        <v>76</v>
      </c>
      <c r="B66" s="10" t="s">
        <v>75</v>
      </c>
      <c r="C66" s="9" t="n">
        <v>5</v>
      </c>
      <c r="D66" s="24" t="s">
        <v>70</v>
      </c>
      <c r="E66" s="12" t="s">
        <v>113</v>
      </c>
      <c r="F66" s="9" t="s">
        <v>159</v>
      </c>
    </row>
    <row r="67" customFormat="false" ht="18" hidden="false" customHeight="true" outlineLevel="0" collapsed="false">
      <c r="A67" s="9" t="s">
        <v>76</v>
      </c>
      <c r="B67" s="10" t="s">
        <v>75</v>
      </c>
      <c r="C67" s="9" t="n">
        <v>6</v>
      </c>
      <c r="D67" s="24" t="s">
        <v>123</v>
      </c>
      <c r="E67" s="12" t="s">
        <v>113</v>
      </c>
      <c r="F67" s="9" t="s">
        <v>159</v>
      </c>
    </row>
    <row r="68" customFormat="false" ht="27.75" hidden="false" customHeight="true" outlineLevel="0" collapsed="false">
      <c r="A68" s="8" t="s">
        <v>76</v>
      </c>
      <c r="B68" s="10" t="s">
        <v>75</v>
      </c>
      <c r="C68" s="8" t="n">
        <v>7</v>
      </c>
      <c r="D68" s="19" t="s">
        <v>78</v>
      </c>
      <c r="E68" s="14" t="s">
        <v>115</v>
      </c>
      <c r="F68" s="8" t="s">
        <v>176</v>
      </c>
    </row>
    <row r="69" customFormat="false" ht="69.75" hidden="false" customHeight="true" outlineLevel="0" collapsed="false">
      <c r="A69" s="8" t="s">
        <v>76</v>
      </c>
      <c r="B69" s="10" t="s">
        <v>75</v>
      </c>
      <c r="C69" s="8" t="n">
        <v>8</v>
      </c>
      <c r="D69" s="19" t="s">
        <v>127</v>
      </c>
      <c r="E69" s="18" t="s">
        <v>124</v>
      </c>
      <c r="F69" s="8" t="s">
        <v>177</v>
      </c>
    </row>
    <row r="70" customFormat="false" ht="27.75" hidden="false" customHeight="true" outlineLevel="0" collapsed="false">
      <c r="A70" s="8" t="s">
        <v>76</v>
      </c>
      <c r="B70" s="10" t="s">
        <v>75</v>
      </c>
      <c r="C70" s="8" t="n">
        <v>9</v>
      </c>
      <c r="D70" s="19" t="s">
        <v>129</v>
      </c>
      <c r="E70" s="17" t="s">
        <v>121</v>
      </c>
      <c r="F70" s="8" t="s">
        <v>178</v>
      </c>
    </row>
    <row r="71" customFormat="false" ht="42" hidden="false" customHeight="true" outlineLevel="0" collapsed="false">
      <c r="A71" s="8" t="s">
        <v>76</v>
      </c>
      <c r="B71" s="10" t="s">
        <v>75</v>
      </c>
      <c r="C71" s="8" t="n">
        <v>10</v>
      </c>
      <c r="D71" s="20" t="s">
        <v>62</v>
      </c>
      <c r="E71" s="18" t="s">
        <v>124</v>
      </c>
      <c r="F71" s="8" t="s">
        <v>179</v>
      </c>
    </row>
    <row r="72" customFormat="false" ht="42" hidden="false" customHeight="true" outlineLevel="0" collapsed="false">
      <c r="A72" s="8" t="s">
        <v>76</v>
      </c>
      <c r="B72" s="10" t="s">
        <v>75</v>
      </c>
      <c r="C72" s="8" t="n">
        <v>11</v>
      </c>
      <c r="D72" s="20" t="s">
        <v>132</v>
      </c>
      <c r="E72" s="17" t="s">
        <v>121</v>
      </c>
      <c r="F72" s="8" t="s">
        <v>180</v>
      </c>
    </row>
    <row r="73" customFormat="false" ht="42" hidden="false" customHeight="true" outlineLevel="0" collapsed="false">
      <c r="A73" s="8" t="s">
        <v>76</v>
      </c>
      <c r="B73" s="10" t="s">
        <v>75</v>
      </c>
      <c r="C73" s="8" t="n">
        <v>12</v>
      </c>
      <c r="D73" s="20" t="s">
        <v>134</v>
      </c>
      <c r="E73" s="18" t="s">
        <v>124</v>
      </c>
      <c r="F73" s="8" t="s">
        <v>181</v>
      </c>
    </row>
    <row r="74" customFormat="false" ht="27.75" hidden="false" customHeight="true" outlineLevel="0" collapsed="false">
      <c r="A74" s="8" t="s">
        <v>76</v>
      </c>
      <c r="B74" s="10" t="s">
        <v>75</v>
      </c>
      <c r="C74" s="8" t="n">
        <v>13</v>
      </c>
      <c r="D74" s="21" t="s">
        <v>136</v>
      </c>
      <c r="E74" s="15" t="s">
        <v>118</v>
      </c>
      <c r="F74" s="8" t="s">
        <v>182</v>
      </c>
    </row>
    <row r="75" customFormat="false" ht="18" hidden="false" customHeight="true" outlineLevel="0" collapsed="false">
      <c r="A75" s="8" t="s">
        <v>76</v>
      </c>
      <c r="B75" s="10" t="s">
        <v>75</v>
      </c>
      <c r="C75" s="8" t="n">
        <v>14</v>
      </c>
      <c r="D75" s="21" t="s">
        <v>138</v>
      </c>
      <c r="E75" s="15" t="s">
        <v>118</v>
      </c>
      <c r="F75" s="8" t="s">
        <v>183</v>
      </c>
    </row>
    <row r="76" customFormat="false" ht="18" hidden="false" customHeight="true" outlineLevel="0" collapsed="false">
      <c r="A76" s="8" t="s">
        <v>76</v>
      </c>
      <c r="B76" s="10" t="s">
        <v>75</v>
      </c>
      <c r="C76" s="8" t="n">
        <v>15</v>
      </c>
      <c r="D76" s="21" t="s">
        <v>140</v>
      </c>
      <c r="E76" s="15" t="s">
        <v>118</v>
      </c>
      <c r="F76" s="8" t="s">
        <v>184</v>
      </c>
    </row>
    <row r="77" customFormat="false" ht="18" hidden="false" customHeight="true" outlineLevel="0" collapsed="false">
      <c r="A77" s="9" t="s">
        <v>84</v>
      </c>
      <c r="B77" s="10" t="s">
        <v>83</v>
      </c>
      <c r="C77" s="9" t="n">
        <v>1</v>
      </c>
      <c r="D77" s="11" t="s">
        <v>112</v>
      </c>
      <c r="E77" s="12" t="s">
        <v>113</v>
      </c>
      <c r="F77" s="9" t="s">
        <v>175</v>
      </c>
    </row>
    <row r="78" customFormat="false" ht="18" hidden="false" customHeight="true" outlineLevel="0" collapsed="false">
      <c r="A78" s="9" t="s">
        <v>84</v>
      </c>
      <c r="B78" s="10" t="s">
        <v>83</v>
      </c>
      <c r="C78" s="9" t="n">
        <v>2</v>
      </c>
      <c r="D78" s="11" t="s">
        <v>46</v>
      </c>
      <c r="E78" s="12" t="s">
        <v>113</v>
      </c>
      <c r="F78" s="9" t="s">
        <v>175</v>
      </c>
    </row>
    <row r="79" customFormat="false" ht="18" hidden="false" customHeight="true" outlineLevel="0" collapsed="false">
      <c r="A79" s="9" t="s">
        <v>84</v>
      </c>
      <c r="B79" s="10" t="s">
        <v>83</v>
      </c>
      <c r="C79" s="9" t="n">
        <v>3</v>
      </c>
      <c r="D79" s="11" t="s">
        <v>117</v>
      </c>
      <c r="E79" s="12" t="s">
        <v>113</v>
      </c>
      <c r="F79" s="9" t="s">
        <v>175</v>
      </c>
    </row>
    <row r="80" customFormat="false" ht="18" hidden="false" customHeight="true" outlineLevel="0" collapsed="false">
      <c r="A80" s="9" t="s">
        <v>84</v>
      </c>
      <c r="B80" s="10" t="s">
        <v>83</v>
      </c>
      <c r="C80" s="9" t="n">
        <v>4</v>
      </c>
      <c r="D80" s="24" t="s">
        <v>54</v>
      </c>
      <c r="E80" s="12" t="s">
        <v>113</v>
      </c>
      <c r="F80" s="9" t="s">
        <v>175</v>
      </c>
    </row>
    <row r="81" customFormat="false" ht="18" hidden="false" customHeight="true" outlineLevel="0" collapsed="false">
      <c r="A81" s="9" t="s">
        <v>84</v>
      </c>
      <c r="B81" s="10" t="s">
        <v>83</v>
      </c>
      <c r="C81" s="9" t="n">
        <v>5</v>
      </c>
      <c r="D81" s="24" t="s">
        <v>70</v>
      </c>
      <c r="E81" s="12" t="s">
        <v>113</v>
      </c>
      <c r="F81" s="9" t="s">
        <v>175</v>
      </c>
    </row>
    <row r="82" customFormat="false" ht="18" hidden="false" customHeight="true" outlineLevel="0" collapsed="false">
      <c r="A82" s="9" t="s">
        <v>84</v>
      </c>
      <c r="B82" s="10" t="s">
        <v>83</v>
      </c>
      <c r="C82" s="9" t="n">
        <v>6</v>
      </c>
      <c r="D82" s="24" t="s">
        <v>123</v>
      </c>
      <c r="E82" s="12" t="s">
        <v>113</v>
      </c>
      <c r="F82" s="9" t="s">
        <v>175</v>
      </c>
    </row>
    <row r="83" customFormat="false" ht="55.5" hidden="false" customHeight="true" outlineLevel="0" collapsed="false">
      <c r="A83" s="8" t="s">
        <v>84</v>
      </c>
      <c r="B83" s="10" t="s">
        <v>83</v>
      </c>
      <c r="C83" s="8" t="n">
        <v>7</v>
      </c>
      <c r="D83" s="19" t="s">
        <v>78</v>
      </c>
      <c r="E83" s="14" t="s">
        <v>115</v>
      </c>
      <c r="F83" s="8" t="s">
        <v>185</v>
      </c>
    </row>
    <row r="84" customFormat="false" ht="55.5" hidden="false" customHeight="true" outlineLevel="0" collapsed="false">
      <c r="A84" s="8" t="s">
        <v>84</v>
      </c>
      <c r="B84" s="10" t="s">
        <v>83</v>
      </c>
      <c r="C84" s="8" t="n">
        <v>8</v>
      </c>
      <c r="D84" s="19" t="s">
        <v>127</v>
      </c>
      <c r="E84" s="18" t="s">
        <v>124</v>
      </c>
      <c r="F84" s="8" t="s">
        <v>186</v>
      </c>
    </row>
    <row r="85" customFormat="false" ht="55.5" hidden="false" customHeight="true" outlineLevel="0" collapsed="false">
      <c r="A85" s="8" t="s">
        <v>84</v>
      </c>
      <c r="B85" s="10" t="s">
        <v>83</v>
      </c>
      <c r="C85" s="8" t="n">
        <v>9</v>
      </c>
      <c r="D85" s="19" t="s">
        <v>129</v>
      </c>
      <c r="E85" s="17" t="s">
        <v>121</v>
      </c>
      <c r="F85" s="8" t="s">
        <v>187</v>
      </c>
    </row>
    <row r="86" customFormat="false" ht="18" hidden="false" customHeight="true" outlineLevel="0" collapsed="false">
      <c r="A86" s="8" t="s">
        <v>84</v>
      </c>
      <c r="B86" s="10" t="s">
        <v>83</v>
      </c>
      <c r="C86" s="8" t="n">
        <v>10</v>
      </c>
      <c r="D86" s="20" t="s">
        <v>62</v>
      </c>
      <c r="E86" s="15" t="s">
        <v>118</v>
      </c>
      <c r="F86" s="8" t="s">
        <v>188</v>
      </c>
    </row>
    <row r="87" customFormat="false" ht="18" hidden="false" customHeight="true" outlineLevel="0" collapsed="false">
      <c r="A87" s="8" t="s">
        <v>84</v>
      </c>
      <c r="B87" s="10" t="s">
        <v>83</v>
      </c>
      <c r="C87" s="8" t="n">
        <v>11</v>
      </c>
      <c r="D87" s="20" t="s">
        <v>132</v>
      </c>
      <c r="E87" s="15" t="s">
        <v>118</v>
      </c>
      <c r="F87" s="8" t="s">
        <v>189</v>
      </c>
    </row>
    <row r="88" customFormat="false" ht="27.75" hidden="false" customHeight="true" outlineLevel="0" collapsed="false">
      <c r="A88" s="8" t="s">
        <v>84</v>
      </c>
      <c r="B88" s="10" t="s">
        <v>83</v>
      </c>
      <c r="C88" s="8" t="n">
        <v>12</v>
      </c>
      <c r="D88" s="20" t="s">
        <v>134</v>
      </c>
      <c r="E88" s="15" t="s">
        <v>118</v>
      </c>
      <c r="F88" s="8" t="s">
        <v>190</v>
      </c>
    </row>
    <row r="89" customFormat="false" ht="18" hidden="false" customHeight="true" outlineLevel="0" collapsed="false">
      <c r="A89" s="8" t="s">
        <v>84</v>
      </c>
      <c r="B89" s="10" t="s">
        <v>83</v>
      </c>
      <c r="C89" s="8" t="n">
        <v>13</v>
      </c>
      <c r="D89" s="21" t="s">
        <v>136</v>
      </c>
      <c r="E89" s="15" t="s">
        <v>118</v>
      </c>
      <c r="F89" s="8" t="s">
        <v>191</v>
      </c>
    </row>
    <row r="90" customFormat="false" ht="18" hidden="false" customHeight="true" outlineLevel="0" collapsed="false">
      <c r="A90" s="8" t="s">
        <v>84</v>
      </c>
      <c r="B90" s="10" t="s">
        <v>83</v>
      </c>
      <c r="C90" s="8" t="n">
        <v>14</v>
      </c>
      <c r="D90" s="21" t="s">
        <v>138</v>
      </c>
      <c r="E90" s="15" t="s">
        <v>118</v>
      </c>
      <c r="F90" s="8" t="s">
        <v>192</v>
      </c>
    </row>
    <row r="91" customFormat="false" ht="18" hidden="false" customHeight="true" outlineLevel="0" collapsed="false">
      <c r="A91" s="8" t="s">
        <v>84</v>
      </c>
      <c r="B91" s="10" t="s">
        <v>83</v>
      </c>
      <c r="C91" s="8" t="n">
        <v>15</v>
      </c>
      <c r="D91" s="21" t="s">
        <v>140</v>
      </c>
      <c r="E91" s="15" t="s">
        <v>118</v>
      </c>
      <c r="F91" s="8" t="s">
        <v>193</v>
      </c>
    </row>
    <row r="92" customFormat="false" ht="18" hidden="false" customHeight="true" outlineLevel="0" collapsed="false">
      <c r="A92" s="9" t="s">
        <v>92</v>
      </c>
      <c r="B92" s="10" t="s">
        <v>91</v>
      </c>
      <c r="C92" s="9" t="n">
        <v>1</v>
      </c>
      <c r="D92" s="11" t="s">
        <v>112</v>
      </c>
      <c r="E92" s="12" t="s">
        <v>113</v>
      </c>
      <c r="F92" s="9" t="s">
        <v>194</v>
      </c>
    </row>
    <row r="93" customFormat="false" ht="18" hidden="false" customHeight="true" outlineLevel="0" collapsed="false">
      <c r="A93" s="9" t="s">
        <v>92</v>
      </c>
      <c r="B93" s="10" t="s">
        <v>91</v>
      </c>
      <c r="C93" s="9" t="n">
        <v>2</v>
      </c>
      <c r="D93" s="11" t="s">
        <v>46</v>
      </c>
      <c r="E93" s="12" t="s">
        <v>113</v>
      </c>
      <c r="F93" s="9" t="s">
        <v>195</v>
      </c>
    </row>
    <row r="94" customFormat="false" ht="18" hidden="false" customHeight="true" outlineLevel="0" collapsed="false">
      <c r="A94" s="9" t="s">
        <v>92</v>
      </c>
      <c r="B94" s="10" t="s">
        <v>91</v>
      </c>
      <c r="C94" s="9" t="n">
        <v>3</v>
      </c>
      <c r="D94" s="11" t="s">
        <v>117</v>
      </c>
      <c r="E94" s="12" t="s">
        <v>113</v>
      </c>
      <c r="F94" s="9" t="s">
        <v>195</v>
      </c>
    </row>
    <row r="95" customFormat="false" ht="18" hidden="false" customHeight="true" outlineLevel="0" collapsed="false">
      <c r="A95" s="9" t="s">
        <v>92</v>
      </c>
      <c r="B95" s="10" t="s">
        <v>91</v>
      </c>
      <c r="C95" s="9" t="n">
        <v>4</v>
      </c>
      <c r="D95" s="24" t="s">
        <v>54</v>
      </c>
      <c r="E95" s="12" t="s">
        <v>113</v>
      </c>
      <c r="F95" s="9" t="s">
        <v>195</v>
      </c>
    </row>
    <row r="96" customFormat="false" ht="18" hidden="false" customHeight="true" outlineLevel="0" collapsed="false">
      <c r="A96" s="9" t="s">
        <v>92</v>
      </c>
      <c r="B96" s="10" t="s">
        <v>91</v>
      </c>
      <c r="C96" s="9" t="n">
        <v>5</v>
      </c>
      <c r="D96" s="24" t="s">
        <v>70</v>
      </c>
      <c r="E96" s="12" t="s">
        <v>113</v>
      </c>
      <c r="F96" s="9" t="s">
        <v>195</v>
      </c>
    </row>
    <row r="97" customFormat="false" ht="18" hidden="false" customHeight="true" outlineLevel="0" collapsed="false">
      <c r="A97" s="9" t="s">
        <v>92</v>
      </c>
      <c r="B97" s="10" t="s">
        <v>91</v>
      </c>
      <c r="C97" s="9" t="n">
        <v>6</v>
      </c>
      <c r="D97" s="24" t="s">
        <v>123</v>
      </c>
      <c r="E97" s="12" t="s">
        <v>113</v>
      </c>
      <c r="F97" s="9" t="s">
        <v>195</v>
      </c>
    </row>
    <row r="98" customFormat="false" ht="18" hidden="false" customHeight="true" outlineLevel="0" collapsed="false">
      <c r="A98" s="9" t="s">
        <v>92</v>
      </c>
      <c r="B98" s="10" t="s">
        <v>91</v>
      </c>
      <c r="C98" s="9" t="n">
        <v>7</v>
      </c>
      <c r="D98" s="25" t="s">
        <v>78</v>
      </c>
      <c r="E98" s="12" t="s">
        <v>113</v>
      </c>
      <c r="F98" s="9" t="s">
        <v>195</v>
      </c>
    </row>
    <row r="99" customFormat="false" ht="18" hidden="false" customHeight="true" outlineLevel="0" collapsed="false">
      <c r="A99" s="9" t="s">
        <v>92</v>
      </c>
      <c r="B99" s="10" t="s">
        <v>91</v>
      </c>
      <c r="C99" s="9" t="n">
        <v>8</v>
      </c>
      <c r="D99" s="25" t="s">
        <v>127</v>
      </c>
      <c r="E99" s="12" t="s">
        <v>113</v>
      </c>
      <c r="F99" s="9" t="s">
        <v>195</v>
      </c>
    </row>
    <row r="100" customFormat="false" ht="18" hidden="false" customHeight="true" outlineLevel="0" collapsed="false">
      <c r="A100" s="9" t="s">
        <v>92</v>
      </c>
      <c r="B100" s="10" t="s">
        <v>91</v>
      </c>
      <c r="C100" s="9" t="n">
        <v>9</v>
      </c>
      <c r="D100" s="25" t="s">
        <v>129</v>
      </c>
      <c r="E100" s="12" t="s">
        <v>113</v>
      </c>
      <c r="F100" s="9" t="s">
        <v>195</v>
      </c>
    </row>
    <row r="101" customFormat="false" ht="18" hidden="false" customHeight="true" outlineLevel="0" collapsed="false">
      <c r="A101" s="9" t="s">
        <v>92</v>
      </c>
      <c r="B101" s="10" t="s">
        <v>91</v>
      </c>
      <c r="C101" s="9" t="n">
        <v>10</v>
      </c>
      <c r="D101" s="26" t="s">
        <v>62</v>
      </c>
      <c r="E101" s="12" t="s">
        <v>113</v>
      </c>
      <c r="F101" s="9" t="s">
        <v>196</v>
      </c>
    </row>
    <row r="102" customFormat="false" ht="69.75" hidden="false" customHeight="true" outlineLevel="0" collapsed="false">
      <c r="A102" s="8" t="s">
        <v>92</v>
      </c>
      <c r="B102" s="10" t="s">
        <v>91</v>
      </c>
      <c r="C102" s="8" t="n">
        <v>11</v>
      </c>
      <c r="D102" s="20" t="s">
        <v>132</v>
      </c>
      <c r="E102" s="14" t="s">
        <v>115</v>
      </c>
      <c r="F102" s="8" t="s">
        <v>197</v>
      </c>
    </row>
    <row r="103" customFormat="false" ht="55.5" hidden="false" customHeight="true" outlineLevel="0" collapsed="false">
      <c r="A103" s="8" t="s">
        <v>92</v>
      </c>
      <c r="B103" s="10" t="s">
        <v>91</v>
      </c>
      <c r="C103" s="8" t="n">
        <v>12</v>
      </c>
      <c r="D103" s="20" t="s">
        <v>134</v>
      </c>
      <c r="E103" s="18" t="s">
        <v>124</v>
      </c>
      <c r="F103" s="8" t="s">
        <v>198</v>
      </c>
    </row>
    <row r="104" customFormat="false" ht="42" hidden="false" customHeight="true" outlineLevel="0" collapsed="false">
      <c r="A104" s="8" t="s">
        <v>92</v>
      </c>
      <c r="B104" s="10" t="s">
        <v>91</v>
      </c>
      <c r="C104" s="8" t="n">
        <v>13</v>
      </c>
      <c r="D104" s="21" t="s">
        <v>136</v>
      </c>
      <c r="E104" s="17" t="s">
        <v>121</v>
      </c>
      <c r="F104" s="8" t="s">
        <v>199</v>
      </c>
    </row>
    <row r="105" customFormat="false" ht="18" hidden="false" customHeight="true" outlineLevel="0" collapsed="false">
      <c r="A105" s="8" t="s">
        <v>92</v>
      </c>
      <c r="B105" s="10" t="s">
        <v>91</v>
      </c>
      <c r="C105" s="8" t="n">
        <v>14</v>
      </c>
      <c r="D105" s="21" t="s">
        <v>138</v>
      </c>
      <c r="E105" s="15" t="s">
        <v>118</v>
      </c>
      <c r="F105" s="8" t="s">
        <v>200</v>
      </c>
    </row>
    <row r="106" customFormat="false" ht="18" hidden="false" customHeight="true" outlineLevel="0" collapsed="false">
      <c r="A106" s="8" t="s">
        <v>92</v>
      </c>
      <c r="B106" s="10" t="s">
        <v>91</v>
      </c>
      <c r="C106" s="8" t="n">
        <v>15</v>
      </c>
      <c r="D106" s="21" t="s">
        <v>140</v>
      </c>
      <c r="E106" s="15" t="s">
        <v>118</v>
      </c>
      <c r="F106" s="8" t="s">
        <v>201</v>
      </c>
    </row>
    <row r="107" customFormat="false" ht="18" hidden="false" customHeight="true" outlineLevel="0" collapsed="false">
      <c r="A107" s="9" t="s">
        <v>100</v>
      </c>
      <c r="B107" s="10" t="s">
        <v>99</v>
      </c>
      <c r="C107" s="9" t="n">
        <v>1</v>
      </c>
      <c r="D107" s="11" t="s">
        <v>112</v>
      </c>
      <c r="E107" s="12" t="s">
        <v>113</v>
      </c>
      <c r="F107" s="9" t="s">
        <v>202</v>
      </c>
    </row>
    <row r="108" customFormat="false" ht="18" hidden="false" customHeight="true" outlineLevel="0" collapsed="false">
      <c r="A108" s="9" t="s">
        <v>100</v>
      </c>
      <c r="B108" s="10" t="s">
        <v>99</v>
      </c>
      <c r="C108" s="9" t="n">
        <v>2</v>
      </c>
      <c r="D108" s="11" t="s">
        <v>46</v>
      </c>
      <c r="E108" s="12" t="s">
        <v>113</v>
      </c>
      <c r="F108" s="9" t="s">
        <v>202</v>
      </c>
    </row>
    <row r="109" customFormat="false" ht="18" hidden="false" customHeight="true" outlineLevel="0" collapsed="false">
      <c r="A109" s="9" t="s">
        <v>100</v>
      </c>
      <c r="B109" s="10" t="s">
        <v>99</v>
      </c>
      <c r="C109" s="9" t="n">
        <v>3</v>
      </c>
      <c r="D109" s="11" t="s">
        <v>117</v>
      </c>
      <c r="E109" s="12" t="s">
        <v>113</v>
      </c>
      <c r="F109" s="9" t="s">
        <v>202</v>
      </c>
    </row>
    <row r="110" customFormat="false" ht="42" hidden="false" customHeight="true" outlineLevel="0" collapsed="false">
      <c r="A110" s="8" t="s">
        <v>100</v>
      </c>
      <c r="B110" s="10" t="s">
        <v>99</v>
      </c>
      <c r="C110" s="8" t="n">
        <v>4</v>
      </c>
      <c r="D110" s="16" t="s">
        <v>54</v>
      </c>
      <c r="E110" s="14" t="s">
        <v>115</v>
      </c>
      <c r="F110" s="8" t="s">
        <v>203</v>
      </c>
    </row>
    <row r="111" customFormat="false" ht="42" hidden="false" customHeight="true" outlineLevel="0" collapsed="false">
      <c r="A111" s="8" t="s">
        <v>100</v>
      </c>
      <c r="B111" s="10" t="s">
        <v>99</v>
      </c>
      <c r="C111" s="8" t="n">
        <v>5</v>
      </c>
      <c r="D111" s="16" t="s">
        <v>70</v>
      </c>
      <c r="E111" s="15" t="s">
        <v>118</v>
      </c>
      <c r="F111" s="8" t="s">
        <v>204</v>
      </c>
    </row>
    <row r="112" customFormat="false" ht="27.75" hidden="false" customHeight="true" outlineLevel="0" collapsed="false">
      <c r="A112" s="8" t="s">
        <v>100</v>
      </c>
      <c r="B112" s="10" t="s">
        <v>99</v>
      </c>
      <c r="C112" s="8" t="n">
        <v>6</v>
      </c>
      <c r="D112" s="16" t="s">
        <v>123</v>
      </c>
      <c r="E112" s="15" t="s">
        <v>118</v>
      </c>
      <c r="F112" s="8" t="s">
        <v>205</v>
      </c>
    </row>
    <row r="113" customFormat="false" ht="55.5" hidden="false" customHeight="true" outlineLevel="0" collapsed="false">
      <c r="A113" s="8" t="s">
        <v>100</v>
      </c>
      <c r="B113" s="10" t="s">
        <v>99</v>
      </c>
      <c r="C113" s="8" t="n">
        <v>7</v>
      </c>
      <c r="D113" s="19" t="s">
        <v>78</v>
      </c>
      <c r="E113" s="17" t="s">
        <v>121</v>
      </c>
      <c r="F113" s="8" t="s">
        <v>206</v>
      </c>
    </row>
    <row r="114" customFormat="false" ht="18" hidden="false" customHeight="true" outlineLevel="0" collapsed="false">
      <c r="A114" s="8" t="s">
        <v>100</v>
      </c>
      <c r="B114" s="10" t="s">
        <v>99</v>
      </c>
      <c r="C114" s="8" t="n">
        <v>8</v>
      </c>
      <c r="D114" s="19" t="s">
        <v>127</v>
      </c>
      <c r="E114" s="15" t="s">
        <v>118</v>
      </c>
      <c r="F114" s="8" t="s">
        <v>207</v>
      </c>
    </row>
    <row r="115" customFormat="false" ht="18" hidden="false" customHeight="true" outlineLevel="0" collapsed="false">
      <c r="A115" s="8" t="s">
        <v>100</v>
      </c>
      <c r="B115" s="10" t="s">
        <v>99</v>
      </c>
      <c r="C115" s="8" t="n">
        <v>9</v>
      </c>
      <c r="D115" s="19" t="s">
        <v>129</v>
      </c>
      <c r="E115" s="15" t="s">
        <v>118</v>
      </c>
      <c r="F115" s="8" t="s">
        <v>208</v>
      </c>
    </row>
    <row r="116" customFormat="false" ht="18" hidden="false" customHeight="true" outlineLevel="0" collapsed="false">
      <c r="A116" s="8" t="s">
        <v>100</v>
      </c>
      <c r="B116" s="10" t="s">
        <v>99</v>
      </c>
      <c r="C116" s="8" t="n">
        <v>10</v>
      </c>
      <c r="D116" s="20" t="s">
        <v>62</v>
      </c>
      <c r="E116" s="15" t="s">
        <v>118</v>
      </c>
      <c r="F116" s="8" t="s">
        <v>209</v>
      </c>
    </row>
    <row r="117" customFormat="false" ht="42" hidden="false" customHeight="true" outlineLevel="0" collapsed="false">
      <c r="A117" s="8" t="s">
        <v>100</v>
      </c>
      <c r="B117" s="10" t="s">
        <v>99</v>
      </c>
      <c r="C117" s="8" t="n">
        <v>11</v>
      </c>
      <c r="D117" s="20" t="s">
        <v>132</v>
      </c>
      <c r="E117" s="18" t="s">
        <v>124</v>
      </c>
      <c r="F117" s="8" t="s">
        <v>210</v>
      </c>
    </row>
    <row r="118" customFormat="false" ht="18" hidden="false" customHeight="true" outlineLevel="0" collapsed="false">
      <c r="A118" s="8" t="s">
        <v>100</v>
      </c>
      <c r="B118" s="10" t="s">
        <v>99</v>
      </c>
      <c r="C118" s="8" t="n">
        <v>12</v>
      </c>
      <c r="D118" s="20" t="s">
        <v>134</v>
      </c>
      <c r="E118" s="22" t="s">
        <v>154</v>
      </c>
      <c r="F118" s="8" t="s">
        <v>155</v>
      </c>
    </row>
    <row r="119" customFormat="false" ht="18" hidden="false" customHeight="true" outlineLevel="0" collapsed="false">
      <c r="A119" s="9" t="s">
        <v>100</v>
      </c>
      <c r="B119" s="10" t="s">
        <v>99</v>
      </c>
      <c r="C119" s="9" t="n">
        <v>13</v>
      </c>
      <c r="D119" s="23" t="s">
        <v>136</v>
      </c>
      <c r="E119" s="12" t="s">
        <v>113</v>
      </c>
      <c r="F119" s="9" t="s">
        <v>211</v>
      </c>
    </row>
    <row r="120" customFormat="false" ht="18" hidden="false" customHeight="true" outlineLevel="0" collapsed="false">
      <c r="A120" s="9" t="s">
        <v>100</v>
      </c>
      <c r="B120" s="10" t="s">
        <v>99</v>
      </c>
      <c r="C120" s="9" t="n">
        <v>14</v>
      </c>
      <c r="D120" s="23" t="s">
        <v>138</v>
      </c>
      <c r="E120" s="12" t="s">
        <v>113</v>
      </c>
      <c r="F120" s="9" t="s">
        <v>212</v>
      </c>
    </row>
    <row r="121" customFormat="false" ht="18" hidden="false" customHeight="true" outlineLevel="0" collapsed="false">
      <c r="A121" s="9" t="s">
        <v>100</v>
      </c>
      <c r="B121" s="10" t="s">
        <v>99</v>
      </c>
      <c r="C121" s="9" t="n">
        <v>15</v>
      </c>
      <c r="D121" s="23" t="s">
        <v>140</v>
      </c>
      <c r="E121" s="12" t="s">
        <v>113</v>
      </c>
      <c r="F121" s="9"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8"/>
    <col collapsed="false" customWidth="true" hidden="false" outlineLevel="0" max="4" min="4" style="0" width="22"/>
    <col collapsed="false" customWidth="true" hidden="false" outlineLevel="0" max="5" min="5" style="0" width="55"/>
    <col collapsed="false" customWidth="true" hidden="false" outlineLevel="0" max="6" min="6" style="0" width="60"/>
    <col collapsed="false" customWidth="true" hidden="false" outlineLevel="0" max="7" min="7" style="0" width="28"/>
  </cols>
  <sheetData>
    <row r="1" customFormat="false" ht="25.5" hidden="false" customHeight="true" outlineLevel="0" collapsed="false">
      <c r="A1" s="5" t="s">
        <v>213</v>
      </c>
      <c r="B1" s="5" t="s">
        <v>214</v>
      </c>
      <c r="C1" s="5" t="s">
        <v>215</v>
      </c>
      <c r="D1" s="5" t="s">
        <v>216</v>
      </c>
      <c r="E1" s="5" t="s">
        <v>217</v>
      </c>
      <c r="F1" s="5" t="s">
        <v>218</v>
      </c>
      <c r="G1" s="5" t="s">
        <v>219</v>
      </c>
    </row>
    <row r="2" customFormat="false" ht="69.75" hidden="false" customHeight="true" outlineLevel="0" collapsed="false">
      <c r="A2" s="6" t="s">
        <v>220</v>
      </c>
      <c r="B2" s="18" t="s">
        <v>221</v>
      </c>
      <c r="C2" s="8" t="s">
        <v>222</v>
      </c>
      <c r="D2" s="8" t="s">
        <v>223</v>
      </c>
      <c r="E2" s="8" t="s">
        <v>224</v>
      </c>
      <c r="F2" s="8" t="s">
        <v>225</v>
      </c>
      <c r="G2" s="8" t="s">
        <v>226</v>
      </c>
    </row>
    <row r="3" customFormat="false" ht="84" hidden="false" customHeight="true" outlineLevel="0" collapsed="false">
      <c r="A3" s="6" t="s">
        <v>227</v>
      </c>
      <c r="B3" s="17" t="s">
        <v>228</v>
      </c>
      <c r="C3" s="8" t="s">
        <v>229</v>
      </c>
      <c r="D3" s="8" t="s">
        <v>230</v>
      </c>
      <c r="E3" s="8" t="s">
        <v>231</v>
      </c>
      <c r="F3" s="8" t="s">
        <v>232</v>
      </c>
      <c r="G3" s="8" t="s">
        <v>233</v>
      </c>
    </row>
    <row r="4" customFormat="false" ht="69.75" hidden="false" customHeight="true" outlineLevel="0" collapsed="false">
      <c r="A4" s="6" t="s">
        <v>234</v>
      </c>
      <c r="B4" s="17" t="s">
        <v>228</v>
      </c>
      <c r="C4" s="8" t="s">
        <v>235</v>
      </c>
      <c r="D4" s="8" t="s">
        <v>236</v>
      </c>
      <c r="E4" s="8" t="s">
        <v>237</v>
      </c>
      <c r="F4" s="8" t="s">
        <v>238</v>
      </c>
      <c r="G4" s="8" t="s">
        <v>239</v>
      </c>
    </row>
    <row r="5" customFormat="false" ht="69.75" hidden="false" customHeight="true" outlineLevel="0" collapsed="false">
      <c r="A5" s="6" t="s">
        <v>240</v>
      </c>
      <c r="B5" s="18" t="s">
        <v>221</v>
      </c>
      <c r="C5" s="8" t="s">
        <v>241</v>
      </c>
      <c r="D5" s="8" t="s">
        <v>242</v>
      </c>
      <c r="E5" s="8" t="s">
        <v>243</v>
      </c>
      <c r="F5" s="8" t="s">
        <v>244</v>
      </c>
      <c r="G5" s="8" t="s">
        <v>245</v>
      </c>
    </row>
    <row r="6" customFormat="false" ht="84" hidden="false" customHeight="true" outlineLevel="0" collapsed="false">
      <c r="A6" s="6" t="s">
        <v>246</v>
      </c>
      <c r="B6" s="17" t="s">
        <v>228</v>
      </c>
      <c r="C6" s="8" t="s">
        <v>247</v>
      </c>
      <c r="D6" s="8" t="s">
        <v>248</v>
      </c>
      <c r="E6" s="8" t="s">
        <v>249</v>
      </c>
      <c r="F6" s="8" t="s">
        <v>250</v>
      </c>
      <c r="G6" s="8" t="s">
        <v>251</v>
      </c>
    </row>
    <row r="7" customFormat="false" ht="84" hidden="false" customHeight="true" outlineLevel="0" collapsed="false">
      <c r="A7" s="6" t="s">
        <v>252</v>
      </c>
      <c r="B7" s="17" t="s">
        <v>228</v>
      </c>
      <c r="C7" s="8" t="s">
        <v>253</v>
      </c>
      <c r="D7" s="8" t="s">
        <v>254</v>
      </c>
      <c r="E7" s="8" t="s">
        <v>255</v>
      </c>
      <c r="F7" s="8" t="s">
        <v>256</v>
      </c>
      <c r="G7" s="8" t="s">
        <v>257</v>
      </c>
    </row>
    <row r="8" customFormat="false" ht="55.5" hidden="false" customHeight="true" outlineLevel="0" collapsed="false">
      <c r="A8" s="6" t="s">
        <v>258</v>
      </c>
      <c r="B8" s="27" t="s">
        <v>259</v>
      </c>
      <c r="C8" s="8" t="s">
        <v>260</v>
      </c>
      <c r="D8" s="8" t="s">
        <v>254</v>
      </c>
      <c r="E8" s="8" t="s">
        <v>261</v>
      </c>
      <c r="F8" s="8" t="s">
        <v>262</v>
      </c>
      <c r="G8" s="8" t="s">
        <v>263</v>
      </c>
    </row>
    <row r="9" customFormat="false" ht="97.5" hidden="false" customHeight="true" outlineLevel="0" collapsed="false">
      <c r="A9" s="6" t="s">
        <v>264</v>
      </c>
      <c r="B9" s="18" t="s">
        <v>221</v>
      </c>
      <c r="C9" s="8" t="s">
        <v>265</v>
      </c>
      <c r="D9" s="8" t="s">
        <v>266</v>
      </c>
      <c r="E9" s="8" t="s">
        <v>267</v>
      </c>
      <c r="F9" s="8" t="s">
        <v>268</v>
      </c>
      <c r="G9" s="8" t="s">
        <v>269</v>
      </c>
    </row>
    <row r="10" customFormat="false" ht="69.75" hidden="false" customHeight="true" outlineLevel="0" collapsed="false">
      <c r="A10" s="6" t="s">
        <v>270</v>
      </c>
      <c r="B10" s="17" t="s">
        <v>228</v>
      </c>
      <c r="C10" s="8" t="s">
        <v>271</v>
      </c>
      <c r="D10" s="8" t="s">
        <v>272</v>
      </c>
      <c r="E10" s="8" t="s">
        <v>273</v>
      </c>
      <c r="F10" s="8" t="s">
        <v>274</v>
      </c>
      <c r="G10" s="8" t="s">
        <v>275</v>
      </c>
    </row>
    <row r="11" customFormat="false" ht="84" hidden="false" customHeight="true" outlineLevel="0" collapsed="false">
      <c r="A11" s="6" t="s">
        <v>276</v>
      </c>
      <c r="B11" s="27" t="s">
        <v>259</v>
      </c>
      <c r="C11" s="8" t="s">
        <v>277</v>
      </c>
      <c r="D11" s="8" t="s">
        <v>272</v>
      </c>
      <c r="E11" s="8" t="s">
        <v>278</v>
      </c>
      <c r="F11" s="8" t="s">
        <v>279</v>
      </c>
      <c r="G11" s="8" t="s">
        <v>280</v>
      </c>
    </row>
    <row r="12" customFormat="false" ht="97.5" hidden="false" customHeight="true" outlineLevel="0" collapsed="false">
      <c r="A12" s="6" t="s">
        <v>281</v>
      </c>
      <c r="B12" s="18" t="s">
        <v>221</v>
      </c>
      <c r="C12" s="8" t="s">
        <v>282</v>
      </c>
      <c r="D12" s="8" t="s">
        <v>283</v>
      </c>
      <c r="E12" s="8" t="s">
        <v>284</v>
      </c>
      <c r="F12" s="8" t="s">
        <v>285</v>
      </c>
      <c r="G12" s="8" t="s">
        <v>286</v>
      </c>
    </row>
    <row r="13" customFormat="false" ht="84" hidden="false" customHeight="true" outlineLevel="0" collapsed="false">
      <c r="A13" s="6" t="s">
        <v>287</v>
      </c>
      <c r="B13" s="17" t="s">
        <v>228</v>
      </c>
      <c r="C13" s="8" t="s">
        <v>288</v>
      </c>
      <c r="D13" s="8" t="s">
        <v>289</v>
      </c>
      <c r="E13" s="8" t="s">
        <v>290</v>
      </c>
      <c r="F13" s="8" t="s">
        <v>291</v>
      </c>
      <c r="G13" s="8" t="s">
        <v>239</v>
      </c>
    </row>
    <row r="14" customFormat="false" ht="69.75" hidden="false" customHeight="true" outlineLevel="0" collapsed="false">
      <c r="A14" s="6" t="s">
        <v>292</v>
      </c>
      <c r="B14" s="27" t="s">
        <v>259</v>
      </c>
      <c r="C14" s="8" t="s">
        <v>293</v>
      </c>
      <c r="D14" s="8" t="s">
        <v>289</v>
      </c>
      <c r="E14" s="8" t="s">
        <v>294</v>
      </c>
      <c r="F14" s="8" t="s">
        <v>295</v>
      </c>
      <c r="G14" s="8" t="s">
        <v>296</v>
      </c>
    </row>
    <row r="15" customFormat="false" ht="97.5" hidden="false" customHeight="true" outlineLevel="0" collapsed="false">
      <c r="A15" s="6" t="s">
        <v>297</v>
      </c>
      <c r="B15" s="27" t="s">
        <v>259</v>
      </c>
      <c r="C15" s="8" t="s">
        <v>298</v>
      </c>
      <c r="D15" s="8" t="s">
        <v>299</v>
      </c>
      <c r="E15" s="8" t="s">
        <v>300</v>
      </c>
      <c r="F15" s="8" t="s">
        <v>301</v>
      </c>
      <c r="G15" s="8" t="s">
        <v>302</v>
      </c>
    </row>
    <row r="18" customFormat="false" ht="24" hidden="false" customHeight="true" outlineLevel="0" collapsed="false">
      <c r="A18" s="28" t="s">
        <v>303</v>
      </c>
      <c r="B18" s="28"/>
      <c r="C18" s="28"/>
      <c r="D18" s="28"/>
      <c r="E18" s="28"/>
      <c r="F18" s="28"/>
      <c r="G18" s="28"/>
    </row>
    <row r="19" customFormat="false" ht="15" hidden="false" customHeight="false" outlineLevel="0" collapsed="false">
      <c r="A19" s="29" t="s">
        <v>304</v>
      </c>
      <c r="B19" s="30" t="n">
        <f aca="false">COUNTIF(B2:B15,"CRITICAL")</f>
        <v>4</v>
      </c>
    </row>
    <row r="20" customFormat="false" ht="15" hidden="false" customHeight="false" outlineLevel="0" collapsed="false">
      <c r="A20" s="29" t="s">
        <v>305</v>
      </c>
      <c r="B20" s="31" t="n">
        <f aca="false">COUNTIF(B2:B15,"HIGH")</f>
        <v>6</v>
      </c>
    </row>
    <row r="21" customFormat="false" ht="15" hidden="false" customHeight="false" outlineLevel="0" collapsed="false">
      <c r="A21" s="29" t="s">
        <v>306</v>
      </c>
      <c r="B21" s="32" t="n">
        <f aca="false">COUNTIF(B2:B15,"MEDIUM")</f>
        <v>4</v>
      </c>
    </row>
    <row r="22" customFormat="false" ht="15" hidden="false" customHeight="false" outlineLevel="0" collapsed="false">
      <c r="A22" s="29" t="s">
        <v>307</v>
      </c>
      <c r="B22" s="33" t="n">
        <f aca="false">COUNTIF(B2:B15,"LOW")</f>
        <v>0</v>
      </c>
    </row>
    <row r="23" customFormat="false" ht="15" hidden="false" customHeight="false" outlineLevel="0" collapsed="false">
      <c r="A23" s="29" t="s">
        <v>308</v>
      </c>
      <c r="B23" s="34" t="n">
        <f aca="false">COUNTA(A2:A15)</f>
        <v>14</v>
      </c>
    </row>
  </sheetData>
  <mergeCells count="1">
    <mergeCell ref="A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2026-05-02T07:07:37Z</dcterms:created>
  <dc:creator>openpyxl</dc:creator>
  <dc:description/>
  <dc:language>en-US</dc:language>
  <cp:lastModifiedBy/>
  <dcterms:modified xsi:type="dcterms:W3CDTF">2026-05-02T07:07:37Z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